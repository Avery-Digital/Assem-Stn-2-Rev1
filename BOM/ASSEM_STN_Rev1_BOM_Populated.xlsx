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Automate BOM\"/>
    </mc:Choice>
  </mc:AlternateContent>
  <xr:revisionPtr revIDLastSave="0" documentId="13_ncr:1_{542EA411-3176-460E-9D2B-9A5995136A8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MF Assembly Station #2 P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5" i="1"/>
  <c r="L6" i="1"/>
  <c r="P6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5" i="1"/>
</calcChain>
</file>

<file path=xl/sharedStrings.xml><?xml version="1.0" encoding="utf-8"?>
<sst xmlns="http://schemas.openxmlformats.org/spreadsheetml/2006/main" count="569" uniqueCount="334">
  <si>
    <t>DMF Assembly Station #2 PCB March 6th, 2026</t>
  </si>
  <si>
    <t>Item</t>
  </si>
  <si>
    <t>Designator</t>
  </si>
  <si>
    <t>Description</t>
  </si>
  <si>
    <t>Type</t>
  </si>
  <si>
    <t>Temperature</t>
  </si>
  <si>
    <t>Value</t>
  </si>
  <si>
    <t>Mfr.</t>
  </si>
  <si>
    <t>Mfr. P/N</t>
  </si>
  <si>
    <t>Number Per Board</t>
  </si>
  <si>
    <t>Number of Boards</t>
  </si>
  <si>
    <t>Quantity Total</t>
  </si>
  <si>
    <t>Distributor</t>
  </si>
  <si>
    <t>Dist. P/N</t>
  </si>
  <si>
    <t>Price Ea</t>
  </si>
  <si>
    <t>Price Total Per Board</t>
  </si>
  <si>
    <t>Available</t>
  </si>
  <si>
    <t>QTY TO BUY</t>
  </si>
  <si>
    <t>Total Buy</t>
  </si>
  <si>
    <t>Date Updated</t>
  </si>
  <si>
    <t>Foot Print</t>
  </si>
  <si>
    <t>Notes</t>
  </si>
  <si>
    <t>U44</t>
  </si>
  <si>
    <t>IC DAC 16BIT V-OUT 16WQFN</t>
  </si>
  <si>
    <t>-40°C ~ 125°C</t>
  </si>
  <si>
    <t>Texas Instruments</t>
  </si>
  <si>
    <t>DAC80508ZRTER</t>
  </si>
  <si>
    <t>DigiKey</t>
  </si>
  <si>
    <t>296-51047-2-ND</t>
  </si>
  <si>
    <t>03/06/2026</t>
  </si>
  <si>
    <t>IC EEPROM 2MBIT I2C 8SO</t>
  </si>
  <si>
    <t>-40°C ~ 85°C (TA)</t>
  </si>
  <si>
    <t>STMicroelectronics</t>
  </si>
  <si>
    <t>M24M02E-FMN6TP</t>
  </si>
  <si>
    <t>497-M24M02E-FMN6TPTR-ND</t>
  </si>
  <si>
    <t>U22</t>
  </si>
  <si>
    <t>IC OSC SILICON 33MHZ SOT-23-5</t>
  </si>
  <si>
    <t>Analog Devices Inc.</t>
  </si>
  <si>
    <t>LTC1799HS5#TRPBF</t>
  </si>
  <si>
    <t>505-LTC1799HS5#TRPBFTR-ND</t>
  </si>
  <si>
    <t>U21</t>
  </si>
  <si>
    <t>IC MCU 32BIT 1MB FLASH 176LQFP</t>
  </si>
  <si>
    <t>STM32H735IGT6</t>
  </si>
  <si>
    <t>497-STM32H735IGT6-ND</t>
  </si>
  <si>
    <t>U20</t>
  </si>
  <si>
    <t>SENSOR OPT SLOT PHOTOTRANS MODUL</t>
  </si>
  <si>
    <t>-30°C ~ 85°C</t>
  </si>
  <si>
    <t>Omron Electronics Inc-EMC Div</t>
  </si>
  <si>
    <t>EE-SX1320</t>
  </si>
  <si>
    <t>39-EE-SX1320TR-ND</t>
  </si>
  <si>
    <t>U19</t>
  </si>
  <si>
    <t>IC USB SERIAL FULL UART 20QFN</t>
  </si>
  <si>
    <t>-40°C ~ 85°C</t>
  </si>
  <si>
    <t>FTDI, Future Technology Devices International Ltd</t>
  </si>
  <si>
    <t>FT231XQ-T</t>
  </si>
  <si>
    <t>768-1155-ND</t>
  </si>
  <si>
    <t>U16</t>
  </si>
  <si>
    <t>IC REG BUCK ADJ 3A 8SOPWR</t>
  </si>
  <si>
    <t>-40°C ~ 125°C (TJ)</t>
  </si>
  <si>
    <t>LMR33630ADDAR</t>
  </si>
  <si>
    <t>296-49763-2-ND</t>
  </si>
  <si>
    <t>U13, U15, U17, U18</t>
  </si>
  <si>
    <t>IC CURR SENSE 1 CIRCUIT SOT23-6</t>
  </si>
  <si>
    <t>INA181A3IDBVT</t>
  </si>
  <si>
    <t>296-46636-2-ND</t>
  </si>
  <si>
    <t>U12, U14</t>
  </si>
  <si>
    <t>INA181A1IDBVR</t>
  </si>
  <si>
    <t>296-47656-2-ND</t>
  </si>
  <si>
    <t>U11, U45</t>
  </si>
  <si>
    <t>EIGHT-CHANNEL, 250-KSPS, 16-BIT</t>
  </si>
  <si>
    <t>ADS7066IRTER</t>
  </si>
  <si>
    <t>U10, U46</t>
  </si>
  <si>
    <t>0.2% ACCURACY 15PPM 4V REF</t>
  </si>
  <si>
    <t>-40°C ~ 145°C (TA)</t>
  </si>
  <si>
    <t>NOVOSENSE</t>
  </si>
  <si>
    <t>NSREF3140-DSTR</t>
  </si>
  <si>
    <t>5380-NSREF3140-DSTR-ND</t>
  </si>
  <si>
    <t>U8, U9</t>
  </si>
  <si>
    <t>IC HALF BRIDG DRV 600MA 32VFQFPN</t>
  </si>
  <si>
    <t>-20°C ~ 125°C (TJ)</t>
  </si>
  <si>
    <t>L2293Q</t>
  </si>
  <si>
    <t>497-L2293Q-ND</t>
  </si>
  <si>
    <t>U7</t>
  </si>
  <si>
    <t>IC MOTOR DRIVER 5.5V-45V 32VQFN</t>
  </si>
  <si>
    <t>-40°C ~ 150°C (TJ)</t>
  </si>
  <si>
    <t>DRV8702DQRHBRQ1</t>
  </si>
  <si>
    <t>296-DRV8702DQRHBRQ1TR-ND</t>
  </si>
  <si>
    <t>U5, U6, U33</t>
  </si>
  <si>
    <t>IC PWR DRIVER N-CHANNEL 1:1 HPAK</t>
  </si>
  <si>
    <t>VN5T016AHTR-E</t>
  </si>
  <si>
    <t>497-14315-2-ND</t>
  </si>
  <si>
    <t>U4</t>
  </si>
  <si>
    <t>IC REG LINEAR 3.3V 1A SOT-223-3</t>
  </si>
  <si>
    <t>Microchip Technology</t>
  </si>
  <si>
    <t>MCP1826S-3302E/DB</t>
  </si>
  <si>
    <t>MCP1826S-3302E/DB-ND</t>
  </si>
  <si>
    <t>U3</t>
  </si>
  <si>
    <t>IC XLTR VL BIDIR 14-TSSOP</t>
  </si>
  <si>
    <t>-40°C ~ 125°C (TA)</t>
  </si>
  <si>
    <t>TXB0104QPWRQ1</t>
  </si>
  <si>
    <t>296-27760-2-ND</t>
  </si>
  <si>
    <t>U2</t>
  </si>
  <si>
    <t>IC TRANSCEIVER 0/4 16TSSOP</t>
  </si>
  <si>
    <t>AM26C32IPWR</t>
  </si>
  <si>
    <t>296-30088-2-ND</t>
  </si>
  <si>
    <t>U1</t>
  </si>
  <si>
    <t>IC MTR DRVR BIPLR 8.2-45V 28SSOP</t>
  </si>
  <si>
    <t>DRV8825PWP</t>
  </si>
  <si>
    <t>296-28915-5-ND</t>
  </si>
  <si>
    <t>TP10, TP11</t>
  </si>
  <si>
    <t>PC TEST POINT MULTIPURPOSE BLACK</t>
  </si>
  <si>
    <t>Keystone Electronics</t>
  </si>
  <si>
    <t>36-5011-ND</t>
  </si>
  <si>
    <t>TP8, TP9, TP12</t>
  </si>
  <si>
    <t>PC TEST POINT MULTIPURPOSE WHITE</t>
  </si>
  <si>
    <t>36-5012-ND</t>
  </si>
  <si>
    <t>TP1, TP2, TP3, TP4, TP5, TP6, TP7</t>
  </si>
  <si>
    <t>PC TEST POINT MULTIPURPOSE RED</t>
  </si>
  <si>
    <t>36-5010-ND</t>
  </si>
  <si>
    <t>R196</t>
  </si>
  <si>
    <t>RES SMD 8.25K OHM 0.1% 1/8W 0805</t>
  </si>
  <si>
    <t>-55°C ~ 155°C</t>
  </si>
  <si>
    <t>Panasonic Electronic Components</t>
  </si>
  <si>
    <t>ERA-6AEB8251V</t>
  </si>
  <si>
    <t>10-ERA-6AEB8251VTR-ND</t>
  </si>
  <si>
    <t>R171</t>
  </si>
  <si>
    <t>RES 470 OHM 1% 1/8W 0805</t>
  </si>
  <si>
    <t>YAGEO</t>
  </si>
  <si>
    <t>RC0805FR-07470RL</t>
  </si>
  <si>
    <t>311-470CRTR-ND</t>
  </si>
  <si>
    <t>R154, R156</t>
  </si>
  <si>
    <t>RES 27 OHM 1% 1/8W 0805</t>
  </si>
  <si>
    <t>Stackpole Electronics Inc</t>
  </si>
  <si>
    <t>RMCF0805FT27R0</t>
  </si>
  <si>
    <t>738-RMCF0805FT27R0TR-ND</t>
  </si>
  <si>
    <t>R112, R118</t>
  </si>
  <si>
    <t>RES SMD 100K OHM 0.1% 1/8W 0805</t>
  </si>
  <si>
    <t>Susumu</t>
  </si>
  <si>
    <t>RG2012P-104-B-T5</t>
  </si>
  <si>
    <t>RG20P100KBTR-ND</t>
  </si>
  <si>
    <t>R84</t>
  </si>
  <si>
    <t>RES 0.015 OHM 1% 3W 2512</t>
  </si>
  <si>
    <t>-55°C ~ 170°C</t>
  </si>
  <si>
    <t>Bourns Inc.</t>
  </si>
  <si>
    <t>CRA2512-FZ-R015ELF</t>
  </si>
  <si>
    <t>CRA2512-FZ-R015ELFTR-ND</t>
  </si>
  <si>
    <t>R55, R63, R67, R169</t>
  </si>
  <si>
    <t>RES 22K OHM 1% 1/8W 0805</t>
  </si>
  <si>
    <t>RC0805FR-1322KL</t>
  </si>
  <si>
    <t>13-RC0805FR-1322KLTR-ND</t>
  </si>
  <si>
    <t>R54, R62, R66</t>
  </si>
  <si>
    <t>RES SMD 1K OHM 1% 1/4W 0805</t>
  </si>
  <si>
    <t>Vishay Dale</t>
  </si>
  <si>
    <t>CRCW08051K00FKEA</t>
  </si>
  <si>
    <t>541-1.00KCTR-ND</t>
  </si>
  <si>
    <t>R47</t>
  </si>
  <si>
    <t>RES 24.9K OHM 1% 1/8W 0805</t>
  </si>
  <si>
    <t>RMCF0805FT24K9</t>
  </si>
  <si>
    <t>RMCF0805FT24K9TR-ND</t>
  </si>
  <si>
    <t>R46</t>
  </si>
  <si>
    <t>RES 330 OHM 1% 1/8W 0805</t>
  </si>
  <si>
    <t>RMCF0805FT330R</t>
  </si>
  <si>
    <t>RMCF0805FT330RTR-ND</t>
  </si>
  <si>
    <t>R44, R48, R56, R58</t>
  </si>
  <si>
    <t>RES 0.04 OHM 0.5% 1/2W 0805</t>
  </si>
  <si>
    <t>-65°C ~ 170°C</t>
  </si>
  <si>
    <t>WSLP0805R0400DEA</t>
  </si>
  <si>
    <t>541-WSLP0805R0400DEATR-ND</t>
  </si>
  <si>
    <t>R43, R45</t>
  </si>
  <si>
    <t>RES 100K OHM 1% 1/8W 0805</t>
  </si>
  <si>
    <t>RC0805FR-07100KL</t>
  </si>
  <si>
    <t>311-100KCRTR-ND</t>
  </si>
  <si>
    <t>R23, R35, R49, R151, R152</t>
  </si>
  <si>
    <t>RES SMD 100 OHM 1% 1/4W 0805</t>
  </si>
  <si>
    <t>CRCW0805100RFKEA</t>
  </si>
  <si>
    <t>541-100CTR-ND</t>
  </si>
  <si>
    <t>R19, R193, R194</t>
  </si>
  <si>
    <t>RES 4.99K OHM 1% 1/8W 0805</t>
  </si>
  <si>
    <t>RMCF0805FT4K99</t>
  </si>
  <si>
    <t>RMCF0805FT4K99TR-ND</t>
  </si>
  <si>
    <t>R15</t>
  </si>
  <si>
    <t>RES 49.9K OHM 1% 1/8W 0805</t>
  </si>
  <si>
    <t>RMCF0805FT49K9</t>
  </si>
  <si>
    <t>RMCF0805FT49K9TR-ND</t>
  </si>
  <si>
    <t>R13, R14</t>
  </si>
  <si>
    <t>RES 0.2 OHM 1% 1/2W 0805</t>
  </si>
  <si>
    <t>ERJ-6DSFR20V</t>
  </si>
  <si>
    <t>P19315TR-ND</t>
  </si>
  <si>
    <t>R12</t>
  </si>
  <si>
    <t>RES SMD 1M OHM 1% 1/4W 0805</t>
  </si>
  <si>
    <t>CRCW08051M00FKEA</t>
  </si>
  <si>
    <t>541-1.00MCTR-ND</t>
  </si>
  <si>
    <t>R8, R9, R10, R16, R177</t>
  </si>
  <si>
    <t>RES 0 OHM JUMPER 1/8W 0805</t>
  </si>
  <si>
    <t>RC0805JR-070RL</t>
  </si>
  <si>
    <t>311-0.0ARTR-ND</t>
  </si>
  <si>
    <t>R7, R11, R52, R53, R60, R61, R64, R65, R75, R83, R88, R89, R90, R91, R92, R93, R94, R95, R96, R97, R168, R178, R184, R205</t>
  </si>
  <si>
    <t>RES SMD 10K OHM 1% 1/4W 0805</t>
  </si>
  <si>
    <t>CRCW080510K0FKEA</t>
  </si>
  <si>
    <t>541-10.0KCTR-ND</t>
  </si>
  <si>
    <t>R6, R50</t>
  </si>
  <si>
    <t>RES 0.02 OHM 0.5% 1/2W 0805</t>
  </si>
  <si>
    <t>-55°C ~ 125°C</t>
  </si>
  <si>
    <t>ERJ-6CWDR020V</t>
  </si>
  <si>
    <t>P124408TR-ND</t>
  </si>
  <si>
    <t/>
  </si>
  <si>
    <t>R1, R2, R3, R4, R5, R17, R18, R20, R21, R22, R24, R25, R26, R27, R28, R29, R30, R31, R32, R33, R34, R36, R37, R38, R39, R40, R41, R42, R51, R57, R59, R68, R69, R70, R71, R72, R73, R74, R76, R77, R78, R79, R80, R81, R82, R85, R86, R87, R98, R99, R100, R101, R102, R103, R104, R105, R106, R107, R108, R109, R110, R111, R113, R114, R115, R116, R117, R119, R120, R121, R122, R123, R124, R125, R126, R127, R128, R129, R130, R131, R132, R133, R134, R135, R136, R137, R138, R139, R140, R141, R142, R143, R144, R145, R146, R147, R148, R149, R150, R153, R155, R157, R158, R159, R160, R161, R162, R163, R164, R165, R166, R167, R170, R172, R173, R174, R175, R176, R179, R180, R181, R182, R183, R185, R186, R187, R188, R189, R190, R191, R192, R195, R197, R198, R199, R200, R201, R202, R203, R204, R206, R207, R208, R209, R210, R211, R212, R213, R214, R215, R216, R217, R218, R219, R220, R221, R222, R223, R224, R225, R226</t>
  </si>
  <si>
    <t>Q1, Q2, Q3, Q4</t>
  </si>
  <si>
    <t>BUK7S2R0-40H/SOT1235/LFPAK88</t>
  </si>
  <si>
    <t>-55°C ~ 175°C (TJ)</t>
  </si>
  <si>
    <t>Nexperia USA Inc.</t>
  </si>
  <si>
    <t>BUK7S2R0-40HJ</t>
  </si>
  <si>
    <t>1727-BUK7S2R0-40HJTR-ND</t>
  </si>
  <si>
    <t>L4</t>
  </si>
  <si>
    <t>FIXED IND 2.2UH 1.2A 138 MOHM</t>
  </si>
  <si>
    <t>Murata Electronics</t>
  </si>
  <si>
    <t>LQM2MPN2R2MG0L</t>
  </si>
  <si>
    <t>490-12072-2-ND</t>
  </si>
  <si>
    <t>L2, L3</t>
  </si>
  <si>
    <t>FIXED IND 15UH 12.5A 20.5 MOHM</t>
  </si>
  <si>
    <t>-40°C ~ 150°C</t>
  </si>
  <si>
    <t>SRP1770TA-150M</t>
  </si>
  <si>
    <t>SRP1770TA-150MTR-ND</t>
  </si>
  <si>
    <t>L1</t>
  </si>
  <si>
    <t>FIXED IND 8.2UH 6.25A 20 MOHM</t>
  </si>
  <si>
    <t>Würth Elektronik</t>
  </si>
  <si>
    <t>732-1207-2-ND</t>
  </si>
  <si>
    <t>J16</t>
  </si>
  <si>
    <t>CONN HEADER VERT 10POS 1.27MM</t>
  </si>
  <si>
    <t>Samtec Inc.</t>
  </si>
  <si>
    <t>SHF-105-01-L-D-TH</t>
  </si>
  <si>
    <t>SAM10711-ND</t>
  </si>
  <si>
    <t>J15, J17</t>
  </si>
  <si>
    <t>CONN HEADER VERT 2POS 2.54MM</t>
  </si>
  <si>
    <t>-40°C ~ 105°C</t>
  </si>
  <si>
    <t>Harwin Inc.</t>
  </si>
  <si>
    <t>M20-9730245</t>
  </si>
  <si>
    <t>952-1912-ND</t>
  </si>
  <si>
    <t>J14</t>
  </si>
  <si>
    <t>CONN HEADER VERT 6POS 2.5MM</t>
  </si>
  <si>
    <t>Molex</t>
  </si>
  <si>
    <t>WM15040-ND</t>
  </si>
  <si>
    <t>J13</t>
  </si>
  <si>
    <t>CONN HEADER SMD 2POS 1.25MM</t>
  </si>
  <si>
    <t>-35°C ~ 85°C</t>
  </si>
  <si>
    <t>Hirose Electric Co Ltd</t>
  </si>
  <si>
    <t>DF13-2P-1.25V(75)</t>
  </si>
  <si>
    <t>H126391-ND</t>
  </si>
  <si>
    <t>J6</t>
  </si>
  <si>
    <t>CONN HEADER VERT 3POS 3.5MM</t>
  </si>
  <si>
    <t>J5</t>
  </si>
  <si>
    <t>CONN HEADER VERT 3POS 2.5MM</t>
  </si>
  <si>
    <t>WM16866-ND</t>
  </si>
  <si>
    <t>J4</t>
  </si>
  <si>
    <t>CONN HEADER VERT 2POS 2.5MM</t>
  </si>
  <si>
    <t>WM16865-ND</t>
  </si>
  <si>
    <t>J3</t>
  </si>
  <si>
    <t>CONN HEADER VERT 4POS 2.5MM</t>
  </si>
  <si>
    <t>WM16867-ND</t>
  </si>
  <si>
    <t>J2, J7, J8, J9, J10, J11, J12</t>
  </si>
  <si>
    <t>CONN HEADER VERT 2POS 3.5MM</t>
  </si>
  <si>
    <t>WM11570-ND</t>
  </si>
  <si>
    <t>J1</t>
  </si>
  <si>
    <t>CONN HEADER VERT 5POS 2.5MM</t>
  </si>
  <si>
    <t>WM16868-ND</t>
  </si>
  <si>
    <t>FID1, FID2, FID3, FID4, FID5, FID6</t>
  </si>
  <si>
    <t>D10, D11</t>
  </si>
  <si>
    <t>LED BLUE CLEAR 0805 SMD</t>
  </si>
  <si>
    <t>Visual Communications Company - VCC</t>
  </si>
  <si>
    <t>LSM0805463V</t>
  </si>
  <si>
    <t>28-LSM0805463VTR-ND</t>
  </si>
  <si>
    <t>D6, D7, D8, D9</t>
  </si>
  <si>
    <t>DIODE SCHOTTKY 100V 2A SMB</t>
  </si>
  <si>
    <t>-65°C ~ 150°C</t>
  </si>
  <si>
    <t>Diodes Incorporated</t>
  </si>
  <si>
    <t>B2100Q-13-F</t>
  </si>
  <si>
    <t>31-B2100Q-13-FTR-ND</t>
  </si>
  <si>
    <t>D1, D2, D3, D4, D5</t>
  </si>
  <si>
    <t>C98, C99</t>
  </si>
  <si>
    <t>CAP CER 47PF 50V C0G/NP0 0805</t>
  </si>
  <si>
    <t>KEMET</t>
  </si>
  <si>
    <t>C0805X470J5GACTU</t>
  </si>
  <si>
    <t>399-C0805X470J5GACTUTR-ND</t>
  </si>
  <si>
    <t>C68, C69, C70, C71, C72, C73, C74, C75, C78, C79, C80, C81, C82, C83, C84, C85</t>
  </si>
  <si>
    <t>CAP CER 0.1UF 50V X7R 0805</t>
  </si>
  <si>
    <t>KYOCERA AVX</t>
  </si>
  <si>
    <t>KGM21NR71H104KT</t>
  </si>
  <si>
    <t>478-KGM21NR71H104KTTR-ND</t>
  </si>
  <si>
    <t>C44, C45, C46, C47, C48, C49, C50, C51</t>
  </si>
  <si>
    <t>CAP CER 22UF 50V X7R 2220</t>
  </si>
  <si>
    <t>TDK Corporation</t>
  </si>
  <si>
    <t>C5750X7R1H226M250KB</t>
  </si>
  <si>
    <t>445-C5750X7R1H226M250KBTR-ND</t>
  </si>
  <si>
    <t>C17, C21, C24, C36</t>
  </si>
  <si>
    <t>CAP CER 1UF 50V X7R 0805</t>
  </si>
  <si>
    <t>Samsung Electro-Mechanics</t>
  </si>
  <si>
    <t>CL21B105KBFNNNE</t>
  </si>
  <si>
    <t>1276-1029-2-ND</t>
  </si>
  <si>
    <t>C14, C15, C16</t>
  </si>
  <si>
    <t>CAP CER 47UF 10V X5R 0805</t>
  </si>
  <si>
    <t>-55°C ~ 85°C</t>
  </si>
  <si>
    <t>GRM21BR61A476ME15L</t>
  </si>
  <si>
    <t>490-9961-2-ND</t>
  </si>
  <si>
    <t>C12</t>
  </si>
  <si>
    <t>CAP CER 0.22UF 50V X7R 0805</t>
  </si>
  <si>
    <t>C0805C224K5RACTU</t>
  </si>
  <si>
    <t>399-C0805C224K5RACTUTR-ND</t>
  </si>
  <si>
    <t>C11, C18, C19, C20, C25, C26, C27, C28, C29, C30, C31, C32, C33, C34, C35, C39, C41, C43, C52, C53, C54, C55, C56, C57, C58, C59, C60, C62, C64, C65, C67, C76, C77, C87, C88, C89, C96, C103, C104, C107, C108, C109, C110, C111</t>
  </si>
  <si>
    <t>CAP CER 10UF 50V X5R 0805</t>
  </si>
  <si>
    <t>GRM21BR61H106KE43L</t>
  </si>
  <si>
    <t>490-18663-2-ND</t>
  </si>
  <si>
    <t>C6</t>
  </si>
  <si>
    <t>CAP ALUM 100UF 20% 50V SMD</t>
  </si>
  <si>
    <t>-55°C ~ 105°C</t>
  </si>
  <si>
    <t>Nichicon</t>
  </si>
  <si>
    <t>UWT1H101MNL1GS</t>
  </si>
  <si>
    <t>493-2226-2-ND</t>
  </si>
  <si>
    <t>C3</t>
  </si>
  <si>
    <t>CAP CER 0.47UF 50V X7R 0805</t>
  </si>
  <si>
    <t>GRM21BR71H474KA88L</t>
  </si>
  <si>
    <t>490-3328-2-ND</t>
  </si>
  <si>
    <t>C2, C4, C5, C7, C8, C9, C10, C13, C37, C38, C40, C42, C61, C63, C66, C86, C90, C91, C92, C93, C94, C95, C97, C100, C101, C102, C105, C106, C112, C113, C114, C115, C116, C117, C118, C119, C120, C121, C122, C123, C124, C125, C126, C127, C128, C129, C130, C131</t>
  </si>
  <si>
    <t>C1, C22, C23</t>
  </si>
  <si>
    <t>CAP CER 10000PF 50V X7R 0805</t>
  </si>
  <si>
    <t>KGM21NR71H103KT</t>
  </si>
  <si>
    <t>478-KGM21NR71H103KTTR-ND</t>
  </si>
  <si>
    <t>U23</t>
  </si>
  <si>
    <t>Backordered, but shipdate is 3/9/2026</t>
  </si>
  <si>
    <t>595-ADS7066IRTER</t>
  </si>
  <si>
    <t>Mouser</t>
  </si>
  <si>
    <t>DNI</t>
  </si>
  <si>
    <t>538-172286-1103</t>
  </si>
  <si>
    <t>LSM0805452V</t>
  </si>
  <si>
    <t>LED GREEN CLEAR 0805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</si>
</sst>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color rgb="FFFF0000"/>
      <name val="Arial"/>
      <family val="2"/>
    </font>
    <font>
      <u/>
      <sz val="10"/>
      <name val="Arial"/>
      <family val="2"/>
    </font>
    <font>
      <sz val="10"/>
      <color rgb="FF000000"/>
      <name val="Arial"/>
    </font>
    <font>
      <u/>
      <sz val="10"/>
      <color rgb="FF0563C1"/>
      <name val="Arial"/>
    </font>
    <font>
      <sz val="11"/>
      <name val="Calibri"/>
      <family val="2"/>
      <scheme val="minor"/>
    </font>
    <font>
      <u/>
      <sz val="10"/>
      <color rgb="FF0563C1"/>
      <name val="Arial"/>
      <family val="2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C6EFCE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rgb="FFC6EFCE"/>
      </patternFill>
    </fill>
    <fill>
      <patternFill patternType="solid">
        <fgColor rgb="FF00B0F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6" fillId="3" borderId="0"/>
    <xf numFmtId="0" fontId="1" fillId="0" borderId="0">
      <alignment vertical="top"/>
      <protection locked="0"/>
    </xf>
    <xf numFmtId="0" fontId="5" fillId="0" borderId="0"/>
    <xf numFmtId="0" fontId="5" fillId="4" borderId="2"/>
    <xf numFmtId="0" fontId="7" fillId="0" borderId="0"/>
  </cellStyleXfs>
  <cellXfs count="6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2" applyBorder="1" applyAlignment="1" applyProtection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1" xfId="2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quotePrefix="1" applyFont="1" applyFill="1" applyBorder="1" applyAlignment="1">
      <alignment horizontal="center" vertical="center"/>
    </xf>
    <xf numFmtId="0" fontId="11" fillId="6" borderId="1" xfId="2" applyFont="1" applyFill="1" applyBorder="1" applyAlignment="1" applyProtection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 shrinkToFit="1"/>
    </xf>
    <xf numFmtId="0" fontId="12" fillId="3" borderId="1" xfId="1" applyFont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2" fontId="10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4" fillId="0" borderId="1" xfId="0" applyFont="1" applyBorder="1" applyAlignment="1">
      <alignment vertical="center" wrapText="1"/>
    </xf>
    <xf numFmtId="0" fontId="13" fillId="6" borderId="1" xfId="2" applyFont="1" applyFill="1" applyBorder="1" applyAlignment="1" applyProtection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quotePrefix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/>
    </xf>
    <xf numFmtId="0" fontId="11" fillId="7" borderId="1" xfId="2" applyFont="1" applyFill="1" applyBorder="1" applyAlignment="1" applyProtection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0" borderId="1" xfId="0" quotePrefix="1" applyFont="1" applyFill="1" applyBorder="1" applyAlignment="1">
      <alignment horizontal="center" vertical="center"/>
    </xf>
    <xf numFmtId="0" fontId="12" fillId="11" borderId="1" xfId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12" borderId="0" xfId="2" applyFill="1">
      <alignment vertical="top"/>
      <protection locked="0"/>
    </xf>
    <xf numFmtId="164" fontId="10" fillId="10" borderId="1" xfId="0" applyNumberFormat="1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shrinkToFit="1"/>
    </xf>
    <xf numFmtId="0" fontId="0" fillId="9" borderId="1" xfId="0" applyFill="1" applyBorder="1"/>
    <xf numFmtId="0" fontId="4" fillId="9" borderId="1" xfId="0" applyFont="1" applyFill="1" applyBorder="1" applyAlignment="1">
      <alignment horizontal="center" vertical="center"/>
    </xf>
    <xf numFmtId="0" fontId="4" fillId="9" borderId="1" xfId="0" quotePrefix="1" applyFont="1" applyFill="1" applyBorder="1" applyAlignment="1">
      <alignment horizontal="center" vertical="center"/>
    </xf>
    <xf numFmtId="0" fontId="9" fillId="9" borderId="1" xfId="2" applyFont="1" applyFill="1" applyBorder="1" applyAlignment="1" applyProtection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</cellXfs>
  <cellStyles count="6">
    <cellStyle name="Good" xfId="1" builtinId="26"/>
    <cellStyle name="Hyperlink" xfId="2" builtinId="8"/>
    <cellStyle name="Normal" xfId="0" builtinId="0"/>
    <cellStyle name="Normal 2" xfId="3" xr:uid="{00000000-0005-0000-0000-000026000000}"/>
    <cellStyle name="Note 2" xfId="4" xr:uid="{00000000-0005-0000-0000-000027000000}"/>
    <cellStyle name="Title 2" xfId="5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yageo/RC0805FR-1322KL/14008208" TargetMode="External"/><Relationship Id="rId21" Type="http://schemas.openxmlformats.org/officeDocument/2006/relationships/hyperlink" Target="https://www.digikey.com/en/products/detail/panasonic-electronic-components/ERA-6AEB8251V/2025746" TargetMode="External"/><Relationship Id="rId42" Type="http://schemas.openxmlformats.org/officeDocument/2006/relationships/hyperlink" Target="https://www.digikey.com/en/products/detail/murata-electronics/LQM2MPN2R2MG0L/4359179" TargetMode="External"/><Relationship Id="rId47" Type="http://schemas.openxmlformats.org/officeDocument/2006/relationships/hyperlink" Target="https://www.digikey.com/en/products/detail/molex/1053091306/6164129" TargetMode="External"/><Relationship Id="rId63" Type="http://schemas.openxmlformats.org/officeDocument/2006/relationships/hyperlink" Target="https://www.digikey.com/en/products/detail/murata-electronics/GRM21BR61H106KE43L/10326316" TargetMode="External"/><Relationship Id="rId68" Type="http://schemas.openxmlformats.org/officeDocument/2006/relationships/hyperlink" Target="https://www.mouser.com/ProductDetail/Texas-Instruments/ADS7066IRTER?qs=ST9lo4GX8V1NXvZuWWBhPA%3D%3D&amp;utm_source=findchips&amp;utm_medium=aggregator&amp;utm_campaign=Texas-Instruments&amp;utm_term=ADS7066IRTER&amp;utm_content=Texas-Instruments" TargetMode="External"/><Relationship Id="rId7" Type="http://schemas.openxmlformats.org/officeDocument/2006/relationships/hyperlink" Target="https://www.digikey.com/en/products/detail/texas-instruments/LMR33630ADDAR/8554847" TargetMode="External"/><Relationship Id="rId2" Type="http://schemas.openxmlformats.org/officeDocument/2006/relationships/hyperlink" Target="https://www.digikey.com/en/products/detail/stmicroelectronics/M24M02E-FMN6TP/21700599" TargetMode="External"/><Relationship Id="rId16" Type="http://schemas.openxmlformats.org/officeDocument/2006/relationships/hyperlink" Target="https://www.digikey.com/en/products/detail/texas-instruments/AM26C32IPWR/1689930" TargetMode="External"/><Relationship Id="rId29" Type="http://schemas.openxmlformats.org/officeDocument/2006/relationships/hyperlink" Target="https://www.digikey.com/en/products/detail/stackpole-electronics-inc/RMCF0805FT330R/1760484" TargetMode="External"/><Relationship Id="rId11" Type="http://schemas.openxmlformats.org/officeDocument/2006/relationships/hyperlink" Target="https://www.digikey.com/en/products/detail/stmicroelectronics/L2293Q/5051121" TargetMode="External"/><Relationship Id="rId24" Type="http://schemas.openxmlformats.org/officeDocument/2006/relationships/hyperlink" Target="https://www.digikey.com/en/products/detail/susumu/RG2012P-104-B-T5/1240656" TargetMode="External"/><Relationship Id="rId32" Type="http://schemas.openxmlformats.org/officeDocument/2006/relationships/hyperlink" Target="https://www.digikey.com/en/products/detail/vishay-dale/CRCW0805100RFKEA/1175523" TargetMode="External"/><Relationship Id="rId37" Type="http://schemas.openxmlformats.org/officeDocument/2006/relationships/hyperlink" Target="https://www.digikey.com/en/products/detail/yageo/RC0805JR-070RL/728216" TargetMode="External"/><Relationship Id="rId40" Type="http://schemas.openxmlformats.org/officeDocument/2006/relationships/hyperlink" Target="https://www.digikey.com/en/products/detail/yageo/RC0805JR-070RL/728216" TargetMode="External"/><Relationship Id="rId45" Type="http://schemas.openxmlformats.org/officeDocument/2006/relationships/hyperlink" Target="https://www.digikey.com/en/products/detail/samtec-inc/SHF-105-01-L-D-TH/6561671" TargetMode="External"/><Relationship Id="rId53" Type="http://schemas.openxmlformats.org/officeDocument/2006/relationships/hyperlink" Target="https://www.digikey.com/en/products/detail/molex/1053091105/7693149" TargetMode="External"/><Relationship Id="rId58" Type="http://schemas.openxmlformats.org/officeDocument/2006/relationships/hyperlink" Target="https://www.digikey.com/en/products/detail/kyocera-avx/KGM21NR71H104KT/563505" TargetMode="External"/><Relationship Id="rId66" Type="http://schemas.openxmlformats.org/officeDocument/2006/relationships/hyperlink" Target="https://www.digikey.com/en/products/detail/kyocera-avx/KGM21NR71H104KT/563505" TargetMode="External"/><Relationship Id="rId5" Type="http://schemas.openxmlformats.org/officeDocument/2006/relationships/hyperlink" Target="https://www.digikey.com/en/products/detail/omron-electronics-inc-emc-div/EE-SX1320/6600982" TargetMode="External"/><Relationship Id="rId61" Type="http://schemas.openxmlformats.org/officeDocument/2006/relationships/hyperlink" Target="https://www.digikey.com/en/products/detail/murata-electronics/GRM21BR61A476ME15L/4905529" TargetMode="External"/><Relationship Id="rId19" Type="http://schemas.openxmlformats.org/officeDocument/2006/relationships/hyperlink" Target="https://www.digikey.com/en/products/detail/keystone-electronics/5012/255334" TargetMode="External"/><Relationship Id="rId14" Type="http://schemas.openxmlformats.org/officeDocument/2006/relationships/hyperlink" Target="https://www.digikey.com/en/products/detail/microchip-technology/MCP1826S-3302E-DB/1635997" TargetMode="External"/><Relationship Id="rId22" Type="http://schemas.openxmlformats.org/officeDocument/2006/relationships/hyperlink" Target="https://www.digikey.com/en/products/detail/yageo/RC0805FR-07470RL/727976" TargetMode="External"/><Relationship Id="rId27" Type="http://schemas.openxmlformats.org/officeDocument/2006/relationships/hyperlink" Target="https://www.digikey.com/en/products/detail/vishay-dale/CRCW08051K00FKEA/1175637" TargetMode="External"/><Relationship Id="rId30" Type="http://schemas.openxmlformats.org/officeDocument/2006/relationships/hyperlink" Target="https://www.digikey.com/en/products/detail/vishay-dale/WSLP0805R0400DEA/9755281" TargetMode="External"/><Relationship Id="rId35" Type="http://schemas.openxmlformats.org/officeDocument/2006/relationships/hyperlink" Target="https://www.digikey.com/en/products/detail/panasonic-electronic-components/ERJ-6DSFR20V/6004398" TargetMode="External"/><Relationship Id="rId43" Type="http://schemas.openxmlformats.org/officeDocument/2006/relationships/hyperlink" Target="https://www.digikey.com/en/products/detail/bourns-inc/SRP1770TA-150M/5429636" TargetMode="External"/><Relationship Id="rId48" Type="http://schemas.openxmlformats.org/officeDocument/2006/relationships/hyperlink" Target="https://www.digikey.com/en/products/detail/hirose-electric-co-ltd/DF13-2P-1-25V-75/9170623" TargetMode="External"/><Relationship Id="rId56" Type="http://schemas.openxmlformats.org/officeDocument/2006/relationships/hyperlink" Target="https://www.digikey.com/en/products/detail/visual-communications-company-vcc/LSM0805463V/10229614" TargetMode="External"/><Relationship Id="rId64" Type="http://schemas.openxmlformats.org/officeDocument/2006/relationships/hyperlink" Target="https://www.digikey.com/en/products/detail/nichicon/UWT1H101MNL1GS/589967" TargetMode="External"/><Relationship Id="rId69" Type="http://schemas.openxmlformats.org/officeDocument/2006/relationships/hyperlink" Target="https://www.mouser.com/ProductDetail/Molex/172286-1103?qs=M4iqfhoVaNopV1IS%252Blu7xQ%3D%3D" TargetMode="External"/><Relationship Id="rId8" Type="http://schemas.openxmlformats.org/officeDocument/2006/relationships/hyperlink" Target="https://www.digikey.com/en/products/detail/texas-instruments/INA181A3IDBVT/7219036" TargetMode="External"/><Relationship Id="rId51" Type="http://schemas.openxmlformats.org/officeDocument/2006/relationships/hyperlink" Target="https://www.digikey.com/en/products/detail/molex/1053091104/7693148" TargetMode="External"/><Relationship Id="rId3" Type="http://schemas.openxmlformats.org/officeDocument/2006/relationships/hyperlink" Target="https://www.digikey.com/en/products/detail/analog-devices-inc/LTC1799HS5-TRPBF/961179" TargetMode="External"/><Relationship Id="rId12" Type="http://schemas.openxmlformats.org/officeDocument/2006/relationships/hyperlink" Target="https://www.digikey.com/en/products/detail/texas-instruments/DRV8702DQRHBRQ1/7056223" TargetMode="External"/><Relationship Id="rId17" Type="http://schemas.openxmlformats.org/officeDocument/2006/relationships/hyperlink" Target="https://www.digikey.com/en/products/detail/texas-instruments/DRV8825PWP/2676775" TargetMode="External"/><Relationship Id="rId25" Type="http://schemas.openxmlformats.org/officeDocument/2006/relationships/hyperlink" Target="https://www.digikey.com/en/products/detail/bourns-inc/CRA2512-FZ-R015ELF/2563864" TargetMode="External"/><Relationship Id="rId33" Type="http://schemas.openxmlformats.org/officeDocument/2006/relationships/hyperlink" Target="https://www.digikey.com/en/products/detail/stackpole-electronics-inc/RMCF0805FT4K99/1760698" TargetMode="External"/><Relationship Id="rId38" Type="http://schemas.openxmlformats.org/officeDocument/2006/relationships/hyperlink" Target="https://www.digikey.com/en/products/detail/vishay-dale/CRCW080510K0FKEA/1175751" TargetMode="External"/><Relationship Id="rId46" Type="http://schemas.openxmlformats.org/officeDocument/2006/relationships/hyperlink" Target="https://www.digikey.com/en/products/detail/harwin-inc/M20-9730245/3727879" TargetMode="External"/><Relationship Id="rId59" Type="http://schemas.openxmlformats.org/officeDocument/2006/relationships/hyperlink" Target="https://www.digikey.com/en/products/detail/tdk-corporation/C5750X7R1H226M250KB/13672015" TargetMode="External"/><Relationship Id="rId67" Type="http://schemas.openxmlformats.org/officeDocument/2006/relationships/hyperlink" Target="https://www.digikey.com/en/products/detail/kyocera-avx/KGM21NR71H103KT/563493" TargetMode="External"/><Relationship Id="rId20" Type="http://schemas.openxmlformats.org/officeDocument/2006/relationships/hyperlink" Target="https://www.digikey.com/en/products/detail/keystone-electronics/5010/255332" TargetMode="External"/><Relationship Id="rId41" Type="http://schemas.openxmlformats.org/officeDocument/2006/relationships/hyperlink" Target="https://www.digikey.com/en/products/detail/nexperia-usa-inc/BUK7S2R0-40HJ/15777942" TargetMode="External"/><Relationship Id="rId54" Type="http://schemas.openxmlformats.org/officeDocument/2006/relationships/hyperlink" Target="https://www.digikey.com/en/products/detail/visual-communications-company-vcc/LSM0805463V/10229614" TargetMode="External"/><Relationship Id="rId62" Type="http://schemas.openxmlformats.org/officeDocument/2006/relationships/hyperlink" Target="https://www.digikey.com/en/products/detail/kemet/C0805C224K5RACTU/754753" TargetMode="External"/><Relationship Id="rId1" Type="http://schemas.openxmlformats.org/officeDocument/2006/relationships/hyperlink" Target="https://www.digikey.com/en/products/detail/texas-instruments/DAC80508ZRTER/9659605" TargetMode="External"/><Relationship Id="rId6" Type="http://schemas.openxmlformats.org/officeDocument/2006/relationships/hyperlink" Target="https://www.digikey.com/en/products/detail/ftdi-future-technology-devices-international-ltd/FT231XQ-T/3749470" TargetMode="External"/><Relationship Id="rId15" Type="http://schemas.openxmlformats.org/officeDocument/2006/relationships/hyperlink" Target="https://www.digikey.com/en/products/detail/texas-instruments/TXB0104QPWRQ1/2232941" TargetMode="External"/><Relationship Id="rId23" Type="http://schemas.openxmlformats.org/officeDocument/2006/relationships/hyperlink" Target="https://www.digikey.com/en/products/detail/stackpole-electronics-inc/RMCF0805FT27R0/1712920" TargetMode="External"/><Relationship Id="rId28" Type="http://schemas.openxmlformats.org/officeDocument/2006/relationships/hyperlink" Target="https://www.digikey.com/en/products/detail/stackpole-electronics-inc/RMCF0805FT24K9/1760179" TargetMode="External"/><Relationship Id="rId36" Type="http://schemas.openxmlformats.org/officeDocument/2006/relationships/hyperlink" Target="https://www.digikey.com/en/products/detail/vishay-dale/CRCW08051M00FKEA/1176016" TargetMode="External"/><Relationship Id="rId49" Type="http://schemas.openxmlformats.org/officeDocument/2006/relationships/hyperlink" Target="https://www.digikey.com/en/products/detail/molex/1053091103/7693147" TargetMode="External"/><Relationship Id="rId57" Type="http://schemas.openxmlformats.org/officeDocument/2006/relationships/hyperlink" Target="https://www.digikey.com/en/products/detail/kemet/C0805X470J5GACTU/3317646" TargetMode="External"/><Relationship Id="rId10" Type="http://schemas.openxmlformats.org/officeDocument/2006/relationships/hyperlink" Target="https://www.digikey.com/en/products/detail/novosense/NSREF3140-DSTR/22188769" TargetMode="External"/><Relationship Id="rId31" Type="http://schemas.openxmlformats.org/officeDocument/2006/relationships/hyperlink" Target="https://www.digikey.com/en/products/detail/yageo/RC0805FR-07100KL/727544" TargetMode="External"/><Relationship Id="rId44" Type="http://schemas.openxmlformats.org/officeDocument/2006/relationships/hyperlink" Target="https://www.digikey.com/en/products/detail/w&#252;rth-elektronik/744771008/1638612" TargetMode="External"/><Relationship Id="rId52" Type="http://schemas.openxmlformats.org/officeDocument/2006/relationships/hyperlink" Target="https://www.digikey.com/en/products/detail/molex/1722861102/5344267" TargetMode="External"/><Relationship Id="rId60" Type="http://schemas.openxmlformats.org/officeDocument/2006/relationships/hyperlink" Target="https://www.digikey.com/en/products/detail/samsung-electro-mechanics/CL21B105KBFNNNE/3886687" TargetMode="External"/><Relationship Id="rId65" Type="http://schemas.openxmlformats.org/officeDocument/2006/relationships/hyperlink" Target="https://www.digikey.com/en/products/detail/murata-electronics/GRM21BR71H474KA88L/702592" TargetMode="External"/><Relationship Id="rId4" Type="http://schemas.openxmlformats.org/officeDocument/2006/relationships/hyperlink" Target="https://www.digikey.com/en/products/detail/stmicroelectronics/STM32H735IGT6/18086047" TargetMode="External"/><Relationship Id="rId9" Type="http://schemas.openxmlformats.org/officeDocument/2006/relationships/hyperlink" Target="https://www.digikey.com/en/products/detail/texas-instruments/INA181A1IDBVR/8132990" TargetMode="External"/><Relationship Id="rId13" Type="http://schemas.openxmlformats.org/officeDocument/2006/relationships/hyperlink" Target="https://www.digikey.com/en/products/detail/stmicroelectronics/VN5T016AHTR-E/4357474" TargetMode="External"/><Relationship Id="rId18" Type="http://schemas.openxmlformats.org/officeDocument/2006/relationships/hyperlink" Target="https://www.digikey.com/en/products/detail/keystone-electronics/5011/255333" TargetMode="External"/><Relationship Id="rId39" Type="http://schemas.openxmlformats.org/officeDocument/2006/relationships/hyperlink" Target="https://www.digikey.com/en/products/detail/panasonic-electronic-components/ERJ-6CWDR020V/10261701" TargetMode="External"/><Relationship Id="rId34" Type="http://schemas.openxmlformats.org/officeDocument/2006/relationships/hyperlink" Target="https://www.digikey.com/en/products/detail/stackpole-electronics-inc/RMCF0805FT49K9/1760272" TargetMode="External"/><Relationship Id="rId50" Type="http://schemas.openxmlformats.org/officeDocument/2006/relationships/hyperlink" Target="https://www.digikey.com/en/products/detail/molex/1053091102/7693146" TargetMode="External"/><Relationship Id="rId55" Type="http://schemas.openxmlformats.org/officeDocument/2006/relationships/hyperlink" Target="https://www.digikey.com/en/products/detail/diodes-incorporated/B2100Q-13-F/6187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"/>
  <sheetViews>
    <sheetView tabSelected="1" zoomScale="70" zoomScaleNormal="70" workbookViewId="0">
      <pane ySplit="3" topLeftCell="A4" activePane="bottomLeft" state="frozen"/>
      <selection pane="bottomLeft" activeCell="V55" sqref="V55"/>
    </sheetView>
  </sheetViews>
  <sheetFormatPr defaultRowHeight="12.75" x14ac:dyDescent="0.2"/>
  <cols>
    <col min="1" max="1" width="4.28515625" style="3" customWidth="1"/>
    <col min="2" max="2" width="5" style="30" bestFit="1" customWidth="1"/>
    <col min="3" max="3" width="62.42578125" style="30" customWidth="1"/>
    <col min="4" max="4" width="37.140625" style="3" bestFit="1" customWidth="1"/>
    <col min="5" max="5" width="5.42578125" style="3" bestFit="1" customWidth="1"/>
    <col min="6" max="6" width="13.85546875" style="3" bestFit="1" customWidth="1"/>
    <col min="7" max="7" width="18.7109375" style="3" customWidth="1"/>
    <col min="8" max="9" width="29" style="3" customWidth="1"/>
    <col min="10" max="10" width="21.42578125" style="3" bestFit="1" customWidth="1"/>
    <col min="11" max="11" width="17.85546875" style="3" customWidth="1"/>
    <col min="12" max="12" width="18.5703125" style="3" customWidth="1"/>
    <col min="13" max="13" width="11.7109375" style="3" bestFit="1" customWidth="1"/>
    <col min="14" max="14" width="34" style="3" bestFit="1" customWidth="1"/>
    <col min="15" max="15" width="10.5703125" style="3" bestFit="1" customWidth="1"/>
    <col min="16" max="16" width="25.28515625" style="3" bestFit="1" customWidth="1"/>
    <col min="17" max="17" width="11.42578125" style="3" bestFit="1" customWidth="1"/>
    <col min="18" max="18" width="15.28515625" style="3" bestFit="1" customWidth="1"/>
    <col min="19" max="19" width="11.7109375" style="3" bestFit="1" customWidth="1"/>
    <col min="20" max="20" width="15.85546875" style="3" bestFit="1" customWidth="1"/>
    <col min="21" max="21" width="23" style="3" bestFit="1" customWidth="1"/>
    <col min="22" max="22" width="36" style="3" bestFit="1" customWidth="1"/>
    <col min="23" max="23" width="9.140625" style="3" customWidth="1"/>
    <col min="24" max="16384" width="9.140625" style="3"/>
  </cols>
  <sheetData>
    <row r="1" spans="1:22" x14ac:dyDescent="0.2"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ht="13.5" customHeight="1" x14ac:dyDescent="0.2"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ht="13.5" customHeight="1" x14ac:dyDescent="0.2">
      <c r="B3" s="13" t="s">
        <v>1</v>
      </c>
      <c r="C3" s="13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</row>
    <row r="4" spans="1:22" x14ac:dyDescent="0.2">
      <c r="B4" s="26"/>
      <c r="C4" s="12"/>
      <c r="E4" s="2"/>
      <c r="F4" s="2"/>
      <c r="I4" s="2"/>
      <c r="J4" s="2"/>
      <c r="K4" s="2"/>
      <c r="L4" s="2"/>
      <c r="N4" s="2"/>
      <c r="O4" s="4"/>
      <c r="P4" s="4"/>
      <c r="Q4" s="2"/>
      <c r="R4" s="2"/>
      <c r="S4" s="2"/>
      <c r="T4" s="16"/>
    </row>
    <row r="5" spans="1:22" ht="15" x14ac:dyDescent="0.2">
      <c r="A5" s="19"/>
      <c r="B5" s="19">
        <v>1</v>
      </c>
      <c r="C5" s="19" t="s">
        <v>22</v>
      </c>
      <c r="D5" s="19" t="s">
        <v>23</v>
      </c>
      <c r="E5" s="19"/>
      <c r="F5" s="20" t="s">
        <v>24</v>
      </c>
      <c r="G5" s="19"/>
      <c r="H5" s="19" t="s">
        <v>25</v>
      </c>
      <c r="I5" s="19" t="s">
        <v>26</v>
      </c>
      <c r="J5" s="27">
        <v>1</v>
      </c>
      <c r="K5" s="19">
        <v>4</v>
      </c>
      <c r="L5" s="19">
        <f>J5*K5</f>
        <v>4</v>
      </c>
      <c r="M5" s="19" t="s">
        <v>27</v>
      </c>
      <c r="N5" s="32" t="s">
        <v>28</v>
      </c>
      <c r="O5" s="22">
        <v>19.82</v>
      </c>
      <c r="P5" s="22">
        <f>L5*O5</f>
        <v>79.28</v>
      </c>
      <c r="Q5" s="19">
        <v>4837</v>
      </c>
      <c r="R5" s="19">
        <v>6</v>
      </c>
      <c r="S5" s="22">
        <f>R5*O5</f>
        <v>118.92</v>
      </c>
      <c r="T5" s="28" t="s">
        <v>29</v>
      </c>
      <c r="U5" s="23"/>
      <c r="V5" s="23"/>
    </row>
    <row r="6" spans="1:22" ht="15" x14ac:dyDescent="0.2">
      <c r="A6" s="19"/>
      <c r="B6" s="19">
        <v>2</v>
      </c>
      <c r="C6" s="33" t="s">
        <v>326</v>
      </c>
      <c r="D6" s="19" t="s">
        <v>30</v>
      </c>
      <c r="E6" s="19"/>
      <c r="F6" s="20" t="s">
        <v>31</v>
      </c>
      <c r="G6" s="19"/>
      <c r="H6" s="19" t="s">
        <v>32</v>
      </c>
      <c r="I6" s="19" t="s">
        <v>33</v>
      </c>
      <c r="J6" s="27">
        <v>1</v>
      </c>
      <c r="K6" s="19">
        <v>4</v>
      </c>
      <c r="L6" s="19">
        <f t="shared" ref="L6:L69" si="0">J6*K6</f>
        <v>4</v>
      </c>
      <c r="M6" s="19" t="s">
        <v>27</v>
      </c>
      <c r="N6" s="21" t="s">
        <v>34</v>
      </c>
      <c r="O6" s="22">
        <v>1.53</v>
      </c>
      <c r="P6" s="22">
        <f t="shared" ref="P6:P69" si="1">L6*O6</f>
        <v>6.12</v>
      </c>
      <c r="Q6" s="19">
        <v>3684</v>
      </c>
      <c r="R6" s="19">
        <v>10</v>
      </c>
      <c r="S6" s="22">
        <f t="shared" ref="S6:S69" si="2">R6*O6</f>
        <v>15.3</v>
      </c>
      <c r="T6" s="28" t="s">
        <v>29</v>
      </c>
      <c r="U6" s="23"/>
      <c r="V6" s="23"/>
    </row>
    <row r="7" spans="1:22" ht="15" x14ac:dyDescent="0.2">
      <c r="A7" s="19"/>
      <c r="B7" s="19">
        <v>3</v>
      </c>
      <c r="C7" s="19" t="s">
        <v>35</v>
      </c>
      <c r="D7" s="19" t="s">
        <v>36</v>
      </c>
      <c r="E7" s="19"/>
      <c r="F7" s="20" t="s">
        <v>24</v>
      </c>
      <c r="G7" s="19"/>
      <c r="H7" s="19" t="s">
        <v>37</v>
      </c>
      <c r="I7" s="19" t="s">
        <v>38</v>
      </c>
      <c r="J7" s="27">
        <v>1</v>
      </c>
      <c r="K7" s="19">
        <v>4</v>
      </c>
      <c r="L7" s="19">
        <f t="shared" si="0"/>
        <v>4</v>
      </c>
      <c r="M7" s="19" t="s">
        <v>27</v>
      </c>
      <c r="N7" s="21" t="s">
        <v>39</v>
      </c>
      <c r="O7" s="22">
        <v>6.71</v>
      </c>
      <c r="P7" s="22">
        <f t="shared" si="1"/>
        <v>26.84</v>
      </c>
      <c r="Q7" s="19">
        <v>2060</v>
      </c>
      <c r="R7" s="19">
        <v>6</v>
      </c>
      <c r="S7" s="22">
        <f t="shared" si="2"/>
        <v>40.26</v>
      </c>
      <c r="T7" s="28" t="s">
        <v>29</v>
      </c>
      <c r="U7" s="19"/>
      <c r="V7" s="19"/>
    </row>
    <row r="8" spans="1:22" ht="15" x14ac:dyDescent="0.2">
      <c r="A8" s="19"/>
      <c r="B8" s="19">
        <v>4</v>
      </c>
      <c r="C8" s="19" t="s">
        <v>40</v>
      </c>
      <c r="D8" s="19" t="s">
        <v>41</v>
      </c>
      <c r="E8" s="19"/>
      <c r="F8" s="20" t="s">
        <v>31</v>
      </c>
      <c r="G8" s="19"/>
      <c r="H8" s="19" t="s">
        <v>32</v>
      </c>
      <c r="I8" s="19" t="s">
        <v>42</v>
      </c>
      <c r="J8" s="27">
        <v>1</v>
      </c>
      <c r="K8" s="19">
        <v>4</v>
      </c>
      <c r="L8" s="19">
        <f t="shared" si="0"/>
        <v>4</v>
      </c>
      <c r="M8" s="19" t="s">
        <v>27</v>
      </c>
      <c r="N8" s="21" t="s">
        <v>43</v>
      </c>
      <c r="O8" s="22">
        <v>13.27</v>
      </c>
      <c r="P8" s="22">
        <f t="shared" si="1"/>
        <v>53.08</v>
      </c>
      <c r="Q8" s="19">
        <v>32</v>
      </c>
      <c r="R8" s="19">
        <v>6</v>
      </c>
      <c r="S8" s="22">
        <f t="shared" si="2"/>
        <v>79.62</v>
      </c>
      <c r="T8" s="28" t="s">
        <v>29</v>
      </c>
      <c r="U8" s="19"/>
      <c r="V8" s="19"/>
    </row>
    <row r="9" spans="1:22" ht="15" x14ac:dyDescent="0.2">
      <c r="A9" s="19"/>
      <c r="B9" s="19">
        <v>5</v>
      </c>
      <c r="C9" s="19" t="s">
        <v>44</v>
      </c>
      <c r="D9" s="19" t="s">
        <v>45</v>
      </c>
      <c r="E9" s="19"/>
      <c r="F9" s="20" t="s">
        <v>46</v>
      </c>
      <c r="G9" s="19"/>
      <c r="H9" s="19" t="s">
        <v>47</v>
      </c>
      <c r="I9" s="19" t="s">
        <v>48</v>
      </c>
      <c r="J9" s="27">
        <v>1</v>
      </c>
      <c r="K9" s="19">
        <v>4</v>
      </c>
      <c r="L9" s="19">
        <f t="shared" si="0"/>
        <v>4</v>
      </c>
      <c r="M9" s="19" t="s">
        <v>27</v>
      </c>
      <c r="N9" s="21" t="s">
        <v>49</v>
      </c>
      <c r="O9" s="22">
        <v>0.74</v>
      </c>
      <c r="P9" s="22">
        <f t="shared" si="1"/>
        <v>2.96</v>
      </c>
      <c r="Q9" s="19">
        <v>59692</v>
      </c>
      <c r="R9" s="19">
        <v>10</v>
      </c>
      <c r="S9" s="22">
        <f t="shared" si="2"/>
        <v>7.4</v>
      </c>
      <c r="T9" s="28" t="s">
        <v>29</v>
      </c>
      <c r="U9" s="23"/>
      <c r="V9" s="23"/>
    </row>
    <row r="10" spans="1:22" ht="15" x14ac:dyDescent="0.2">
      <c r="A10" s="19"/>
      <c r="B10" s="19">
        <v>6</v>
      </c>
      <c r="C10" s="19" t="s">
        <v>50</v>
      </c>
      <c r="D10" s="19" t="s">
        <v>51</v>
      </c>
      <c r="E10" s="19"/>
      <c r="F10" s="20" t="s">
        <v>52</v>
      </c>
      <c r="G10" s="19"/>
      <c r="H10" s="19" t="s">
        <v>53</v>
      </c>
      <c r="I10" s="19" t="s">
        <v>54</v>
      </c>
      <c r="J10" s="27">
        <v>1</v>
      </c>
      <c r="K10" s="19">
        <v>4</v>
      </c>
      <c r="L10" s="19">
        <f t="shared" si="0"/>
        <v>4</v>
      </c>
      <c r="M10" s="19" t="s">
        <v>27</v>
      </c>
      <c r="N10" s="21" t="s">
        <v>55</v>
      </c>
      <c r="O10" s="22">
        <v>2.34</v>
      </c>
      <c r="P10" s="22">
        <f t="shared" si="1"/>
        <v>9.36</v>
      </c>
      <c r="Q10" s="19">
        <v>0</v>
      </c>
      <c r="R10" s="19">
        <v>10</v>
      </c>
      <c r="S10" s="22">
        <f t="shared" si="2"/>
        <v>23.4</v>
      </c>
      <c r="T10" s="28" t="s">
        <v>29</v>
      </c>
      <c r="U10" s="34" t="s">
        <v>327</v>
      </c>
      <c r="V10" s="23"/>
    </row>
    <row r="11" spans="1:22" ht="15" x14ac:dyDescent="0.2">
      <c r="A11" s="19"/>
      <c r="B11" s="19">
        <v>7</v>
      </c>
      <c r="C11" s="19" t="s">
        <v>56</v>
      </c>
      <c r="D11" s="19" t="s">
        <v>57</v>
      </c>
      <c r="E11" s="19"/>
      <c r="F11" s="20" t="s">
        <v>58</v>
      </c>
      <c r="G11" s="19"/>
      <c r="H11" s="19" t="s">
        <v>25</v>
      </c>
      <c r="I11" s="19" t="s">
        <v>59</v>
      </c>
      <c r="J11" s="27">
        <v>1</v>
      </c>
      <c r="K11" s="19">
        <v>4</v>
      </c>
      <c r="L11" s="19">
        <f t="shared" si="0"/>
        <v>4</v>
      </c>
      <c r="M11" s="19" t="s">
        <v>27</v>
      </c>
      <c r="N11" s="21" t="s">
        <v>60</v>
      </c>
      <c r="O11" s="22">
        <v>2.5499999999999998</v>
      </c>
      <c r="P11" s="22">
        <f t="shared" si="1"/>
        <v>10.199999999999999</v>
      </c>
      <c r="Q11" s="19">
        <v>4851</v>
      </c>
      <c r="R11" s="19">
        <v>10</v>
      </c>
      <c r="S11" s="22">
        <f t="shared" si="2"/>
        <v>25.5</v>
      </c>
      <c r="T11" s="28" t="s">
        <v>29</v>
      </c>
      <c r="U11" s="23"/>
      <c r="V11" s="23"/>
    </row>
    <row r="12" spans="1:22" ht="15" x14ac:dyDescent="0.2">
      <c r="A12" s="19"/>
      <c r="B12" s="19">
        <v>8</v>
      </c>
      <c r="C12" s="19" t="s">
        <v>61</v>
      </c>
      <c r="D12" s="19" t="s">
        <v>62</v>
      </c>
      <c r="E12" s="19"/>
      <c r="F12" s="20" t="s">
        <v>24</v>
      </c>
      <c r="G12" s="19"/>
      <c r="H12" s="19" t="s">
        <v>25</v>
      </c>
      <c r="I12" s="19" t="s">
        <v>63</v>
      </c>
      <c r="J12" s="27">
        <v>4</v>
      </c>
      <c r="K12" s="19">
        <v>4</v>
      </c>
      <c r="L12" s="19">
        <f t="shared" si="0"/>
        <v>16</v>
      </c>
      <c r="M12" s="19" t="s">
        <v>27</v>
      </c>
      <c r="N12" s="32" t="s">
        <v>64</v>
      </c>
      <c r="O12" s="22">
        <v>0.99</v>
      </c>
      <c r="P12" s="22">
        <f t="shared" si="1"/>
        <v>15.84</v>
      </c>
      <c r="Q12" s="19">
        <v>5188</v>
      </c>
      <c r="R12" s="19">
        <v>25</v>
      </c>
      <c r="S12" s="22">
        <f t="shared" si="2"/>
        <v>24.75</v>
      </c>
      <c r="T12" s="28" t="s">
        <v>29</v>
      </c>
      <c r="U12" s="23"/>
      <c r="V12" s="23"/>
    </row>
    <row r="13" spans="1:22" ht="15" x14ac:dyDescent="0.2">
      <c r="A13" s="19"/>
      <c r="B13" s="19">
        <v>9</v>
      </c>
      <c r="C13" s="19" t="s">
        <v>65</v>
      </c>
      <c r="D13" s="19" t="s">
        <v>62</v>
      </c>
      <c r="E13" s="19"/>
      <c r="F13" s="20" t="s">
        <v>24</v>
      </c>
      <c r="G13" s="19"/>
      <c r="H13" s="19" t="s">
        <v>25</v>
      </c>
      <c r="I13" s="19" t="s">
        <v>66</v>
      </c>
      <c r="J13" s="27">
        <v>2</v>
      </c>
      <c r="K13" s="19">
        <v>4</v>
      </c>
      <c r="L13" s="19">
        <f t="shared" si="0"/>
        <v>8</v>
      </c>
      <c r="M13" s="19" t="s">
        <v>27</v>
      </c>
      <c r="N13" s="21" t="s">
        <v>67</v>
      </c>
      <c r="O13" s="22">
        <v>0.43</v>
      </c>
      <c r="P13" s="22">
        <f t="shared" si="1"/>
        <v>3.44</v>
      </c>
      <c r="Q13" s="19">
        <v>20081</v>
      </c>
      <c r="R13" s="19">
        <v>25</v>
      </c>
      <c r="S13" s="22">
        <f t="shared" si="2"/>
        <v>10.75</v>
      </c>
      <c r="T13" s="28" t="s">
        <v>29</v>
      </c>
      <c r="U13" s="23"/>
      <c r="V13" s="23"/>
    </row>
    <row r="14" spans="1:22" s="53" customFormat="1" ht="15" x14ac:dyDescent="0.2">
      <c r="A14" s="45"/>
      <c r="B14" s="45">
        <v>10</v>
      </c>
      <c r="C14" s="45" t="s">
        <v>68</v>
      </c>
      <c r="D14" s="45" t="s">
        <v>69</v>
      </c>
      <c r="E14" s="45"/>
      <c r="F14" s="46" t="s">
        <v>24</v>
      </c>
      <c r="G14" s="45"/>
      <c r="H14" s="45" t="s">
        <v>25</v>
      </c>
      <c r="I14" s="45" t="s">
        <v>70</v>
      </c>
      <c r="J14" s="47">
        <v>2</v>
      </c>
      <c r="K14" s="45">
        <v>4</v>
      </c>
      <c r="L14" s="45">
        <f t="shared" si="0"/>
        <v>8</v>
      </c>
      <c r="M14" s="48" t="s">
        <v>329</v>
      </c>
      <c r="N14" s="49" t="s">
        <v>328</v>
      </c>
      <c r="O14" s="50">
        <v>13.23</v>
      </c>
      <c r="P14" s="50">
        <f t="shared" si="1"/>
        <v>105.84</v>
      </c>
      <c r="Q14" s="45">
        <v>0</v>
      </c>
      <c r="R14" s="45">
        <v>12</v>
      </c>
      <c r="S14" s="50">
        <f t="shared" si="2"/>
        <v>158.76</v>
      </c>
      <c r="T14" s="51" t="s">
        <v>29</v>
      </c>
      <c r="U14" s="52"/>
      <c r="V14" s="52"/>
    </row>
    <row r="15" spans="1:22" ht="15" x14ac:dyDescent="0.2">
      <c r="A15" s="19"/>
      <c r="B15" s="19">
        <v>11</v>
      </c>
      <c r="C15" s="19" t="s">
        <v>71</v>
      </c>
      <c r="D15" s="19" t="s">
        <v>72</v>
      </c>
      <c r="E15" s="19"/>
      <c r="F15" s="20" t="s">
        <v>73</v>
      </c>
      <c r="G15" s="19"/>
      <c r="H15" s="19" t="s">
        <v>74</v>
      </c>
      <c r="I15" s="19" t="s">
        <v>75</v>
      </c>
      <c r="J15" s="27">
        <v>2</v>
      </c>
      <c r="K15" s="19">
        <v>4</v>
      </c>
      <c r="L15" s="19">
        <f t="shared" si="0"/>
        <v>8</v>
      </c>
      <c r="M15" s="19" t="s">
        <v>27</v>
      </c>
      <c r="N15" s="21" t="s">
        <v>76</v>
      </c>
      <c r="O15" s="22">
        <v>2.02</v>
      </c>
      <c r="P15" s="22">
        <f t="shared" si="1"/>
        <v>16.16</v>
      </c>
      <c r="Q15" s="19">
        <v>2667</v>
      </c>
      <c r="R15" s="19">
        <v>12</v>
      </c>
      <c r="S15" s="22">
        <f t="shared" si="2"/>
        <v>24.240000000000002</v>
      </c>
      <c r="T15" s="28" t="s">
        <v>29</v>
      </c>
      <c r="U15" s="23"/>
      <c r="V15" s="23"/>
    </row>
    <row r="16" spans="1:22" ht="15" x14ac:dyDescent="0.2">
      <c r="A16" s="19"/>
      <c r="B16" s="19">
        <v>12</v>
      </c>
      <c r="C16" s="19" t="s">
        <v>77</v>
      </c>
      <c r="D16" s="19" t="s">
        <v>78</v>
      </c>
      <c r="E16" s="19"/>
      <c r="F16" s="20" t="s">
        <v>79</v>
      </c>
      <c r="G16" s="19"/>
      <c r="H16" s="19" t="s">
        <v>32</v>
      </c>
      <c r="I16" s="19" t="s">
        <v>80</v>
      </c>
      <c r="J16" s="27">
        <v>2</v>
      </c>
      <c r="K16" s="19">
        <v>4</v>
      </c>
      <c r="L16" s="19">
        <f t="shared" si="0"/>
        <v>8</v>
      </c>
      <c r="M16" s="19" t="s">
        <v>27</v>
      </c>
      <c r="N16" s="21" t="s">
        <v>81</v>
      </c>
      <c r="O16" s="22">
        <v>7.49</v>
      </c>
      <c r="P16" s="22">
        <f t="shared" si="1"/>
        <v>59.92</v>
      </c>
      <c r="Q16" s="19">
        <v>2991</v>
      </c>
      <c r="R16" s="19">
        <v>12</v>
      </c>
      <c r="S16" s="22">
        <f t="shared" si="2"/>
        <v>89.88</v>
      </c>
      <c r="T16" s="28" t="s">
        <v>29</v>
      </c>
      <c r="U16" s="23"/>
      <c r="V16" s="23"/>
    </row>
    <row r="17" spans="1:22" ht="15" x14ac:dyDescent="0.2">
      <c r="A17" s="19"/>
      <c r="B17" s="19">
        <v>13</v>
      </c>
      <c r="C17" s="19" t="s">
        <v>82</v>
      </c>
      <c r="D17" s="19" t="s">
        <v>83</v>
      </c>
      <c r="E17" s="19"/>
      <c r="F17" s="20" t="s">
        <v>84</v>
      </c>
      <c r="G17" s="19"/>
      <c r="H17" s="19" t="s">
        <v>25</v>
      </c>
      <c r="I17" s="19" t="s">
        <v>85</v>
      </c>
      <c r="J17" s="27">
        <v>1</v>
      </c>
      <c r="K17" s="19">
        <v>4</v>
      </c>
      <c r="L17" s="19">
        <f t="shared" si="0"/>
        <v>4</v>
      </c>
      <c r="M17" s="19" t="s">
        <v>27</v>
      </c>
      <c r="N17" s="21" t="s">
        <v>86</v>
      </c>
      <c r="O17" s="22">
        <v>2.75</v>
      </c>
      <c r="P17" s="22">
        <f t="shared" si="1"/>
        <v>11</v>
      </c>
      <c r="Q17" s="19">
        <v>3848</v>
      </c>
      <c r="R17" s="19">
        <v>10</v>
      </c>
      <c r="S17" s="22">
        <f t="shared" si="2"/>
        <v>27.5</v>
      </c>
      <c r="T17" s="28" t="s">
        <v>29</v>
      </c>
      <c r="U17" s="23"/>
      <c r="V17" s="23"/>
    </row>
    <row r="18" spans="1:22" ht="15" x14ac:dyDescent="0.2">
      <c r="A18" s="19"/>
      <c r="B18" s="19">
        <v>14</v>
      </c>
      <c r="C18" s="19" t="s">
        <v>87</v>
      </c>
      <c r="D18" s="19" t="s">
        <v>88</v>
      </c>
      <c r="E18" s="19"/>
      <c r="F18" s="20" t="s">
        <v>84</v>
      </c>
      <c r="G18" s="19"/>
      <c r="H18" s="19" t="s">
        <v>32</v>
      </c>
      <c r="I18" s="19" t="s">
        <v>89</v>
      </c>
      <c r="J18" s="27">
        <v>3</v>
      </c>
      <c r="K18" s="19">
        <v>4</v>
      </c>
      <c r="L18" s="19">
        <f t="shared" si="0"/>
        <v>12</v>
      </c>
      <c r="M18" s="19" t="s">
        <v>27</v>
      </c>
      <c r="N18" s="21" t="s">
        <v>90</v>
      </c>
      <c r="O18" s="22">
        <v>3.84</v>
      </c>
      <c r="P18" s="22">
        <f t="shared" si="1"/>
        <v>46.08</v>
      </c>
      <c r="Q18" s="19">
        <v>260</v>
      </c>
      <c r="R18" s="19">
        <v>25</v>
      </c>
      <c r="S18" s="22">
        <f t="shared" si="2"/>
        <v>96</v>
      </c>
      <c r="T18" s="28" t="s">
        <v>29</v>
      </c>
      <c r="U18" s="23"/>
      <c r="V18" s="23"/>
    </row>
    <row r="19" spans="1:22" ht="15" x14ac:dyDescent="0.2">
      <c r="A19" s="19"/>
      <c r="B19" s="19">
        <v>15</v>
      </c>
      <c r="C19" s="19" t="s">
        <v>91</v>
      </c>
      <c r="D19" s="19" t="s">
        <v>92</v>
      </c>
      <c r="E19" s="19"/>
      <c r="F19" s="20" t="s">
        <v>24</v>
      </c>
      <c r="G19" s="19"/>
      <c r="H19" s="19" t="s">
        <v>93</v>
      </c>
      <c r="I19" s="19" t="s">
        <v>94</v>
      </c>
      <c r="J19" s="27">
        <v>1</v>
      </c>
      <c r="K19" s="19">
        <v>4</v>
      </c>
      <c r="L19" s="19">
        <f t="shared" si="0"/>
        <v>4</v>
      </c>
      <c r="M19" s="19" t="s">
        <v>27</v>
      </c>
      <c r="N19" s="21" t="s">
        <v>95</v>
      </c>
      <c r="O19" s="22">
        <v>0.91</v>
      </c>
      <c r="P19" s="22">
        <f t="shared" si="1"/>
        <v>3.64</v>
      </c>
      <c r="Q19" s="19">
        <v>6517</v>
      </c>
      <c r="R19" s="19">
        <v>12</v>
      </c>
      <c r="S19" s="22">
        <f t="shared" si="2"/>
        <v>10.92</v>
      </c>
      <c r="T19" s="28" t="s">
        <v>29</v>
      </c>
      <c r="U19" s="23"/>
      <c r="V19" s="23"/>
    </row>
    <row r="20" spans="1:22" ht="15" x14ac:dyDescent="0.2">
      <c r="A20" s="19"/>
      <c r="B20" s="19">
        <v>16</v>
      </c>
      <c r="C20" s="19" t="s">
        <v>96</v>
      </c>
      <c r="D20" s="19" t="s">
        <v>97</v>
      </c>
      <c r="E20" s="19"/>
      <c r="F20" s="23" t="s">
        <v>98</v>
      </c>
      <c r="G20" s="19"/>
      <c r="H20" s="19" t="s">
        <v>25</v>
      </c>
      <c r="I20" s="19" t="s">
        <v>99</v>
      </c>
      <c r="J20" s="27">
        <v>1</v>
      </c>
      <c r="K20" s="19">
        <v>4</v>
      </c>
      <c r="L20" s="19">
        <f t="shared" si="0"/>
        <v>4</v>
      </c>
      <c r="M20" s="19" t="s">
        <v>27</v>
      </c>
      <c r="N20" s="21" t="s">
        <v>100</v>
      </c>
      <c r="O20" s="22">
        <v>1.42</v>
      </c>
      <c r="P20" s="22">
        <f t="shared" si="1"/>
        <v>5.68</v>
      </c>
      <c r="Q20" s="19">
        <v>10963</v>
      </c>
      <c r="R20" s="19">
        <v>10</v>
      </c>
      <c r="S20" s="22">
        <f t="shared" si="2"/>
        <v>14.2</v>
      </c>
      <c r="T20" s="28" t="s">
        <v>29</v>
      </c>
      <c r="U20" s="23"/>
      <c r="V20" s="23"/>
    </row>
    <row r="21" spans="1:22" ht="15" x14ac:dyDescent="0.2">
      <c r="A21" s="19"/>
      <c r="B21" s="19">
        <v>17</v>
      </c>
      <c r="C21" s="19" t="s">
        <v>101</v>
      </c>
      <c r="D21" s="19" t="s">
        <v>102</v>
      </c>
      <c r="E21" s="19"/>
      <c r="F21" s="19" t="s">
        <v>52</v>
      </c>
      <c r="G21" s="19"/>
      <c r="H21" s="19" t="s">
        <v>25</v>
      </c>
      <c r="I21" s="19" t="s">
        <v>103</v>
      </c>
      <c r="J21" s="27">
        <v>1</v>
      </c>
      <c r="K21" s="19">
        <v>4</v>
      </c>
      <c r="L21" s="19">
        <f t="shared" si="0"/>
        <v>4</v>
      </c>
      <c r="M21" s="19" t="s">
        <v>27</v>
      </c>
      <c r="N21" s="21" t="s">
        <v>104</v>
      </c>
      <c r="O21" s="22">
        <v>1.06</v>
      </c>
      <c r="P21" s="22">
        <f t="shared" si="1"/>
        <v>4.24</v>
      </c>
      <c r="Q21" s="19">
        <v>3091</v>
      </c>
      <c r="R21" s="19">
        <v>25</v>
      </c>
      <c r="S21" s="22">
        <f t="shared" si="2"/>
        <v>26.5</v>
      </c>
      <c r="T21" s="28" t="s">
        <v>29</v>
      </c>
      <c r="U21" s="23"/>
      <c r="V21" s="23"/>
    </row>
    <row r="22" spans="1:22" ht="12.75" customHeight="1" x14ac:dyDescent="0.2">
      <c r="A22" s="19"/>
      <c r="B22" s="19">
        <v>18</v>
      </c>
      <c r="C22" s="19" t="s">
        <v>105</v>
      </c>
      <c r="D22" s="19" t="s">
        <v>106</v>
      </c>
      <c r="E22" s="19"/>
      <c r="F22" s="20" t="s">
        <v>84</v>
      </c>
      <c r="G22" s="19"/>
      <c r="H22" s="19" t="s">
        <v>25</v>
      </c>
      <c r="I22" s="19" t="s">
        <v>107</v>
      </c>
      <c r="J22" s="27">
        <v>1</v>
      </c>
      <c r="K22" s="19">
        <v>4</v>
      </c>
      <c r="L22" s="19">
        <f t="shared" si="0"/>
        <v>4</v>
      </c>
      <c r="M22" s="19" t="s">
        <v>27</v>
      </c>
      <c r="N22" s="21" t="s">
        <v>108</v>
      </c>
      <c r="O22" s="22">
        <v>5.95</v>
      </c>
      <c r="P22" s="22">
        <f t="shared" si="1"/>
        <v>23.8</v>
      </c>
      <c r="Q22" s="19">
        <v>10534</v>
      </c>
      <c r="R22" s="19">
        <v>10</v>
      </c>
      <c r="S22" s="22">
        <f t="shared" si="2"/>
        <v>59.5</v>
      </c>
      <c r="T22" s="28" t="s">
        <v>29</v>
      </c>
      <c r="U22" s="23"/>
      <c r="V22" s="23"/>
    </row>
    <row r="23" spans="1:22" s="43" customFormat="1" ht="15" x14ac:dyDescent="0.2">
      <c r="A23" s="35"/>
      <c r="B23" s="35">
        <v>19</v>
      </c>
      <c r="C23" s="35" t="s">
        <v>109</v>
      </c>
      <c r="D23" s="35" t="s">
        <v>110</v>
      </c>
      <c r="E23" s="35"/>
      <c r="F23" s="36"/>
      <c r="G23" s="35"/>
      <c r="H23" s="35" t="s">
        <v>111</v>
      </c>
      <c r="I23" s="35">
        <v>5011</v>
      </c>
      <c r="J23" s="37">
        <v>2</v>
      </c>
      <c r="K23" s="35">
        <v>4</v>
      </c>
      <c r="L23" s="35">
        <f t="shared" si="0"/>
        <v>8</v>
      </c>
      <c r="M23" s="35" t="s">
        <v>27</v>
      </c>
      <c r="N23" s="38" t="s">
        <v>112</v>
      </c>
      <c r="O23" s="39">
        <v>0.32</v>
      </c>
      <c r="P23" s="39">
        <f t="shared" si="1"/>
        <v>2.56</v>
      </c>
      <c r="Q23" s="35">
        <v>146584</v>
      </c>
      <c r="R23" s="35">
        <v>100</v>
      </c>
      <c r="S23" s="39">
        <f t="shared" si="2"/>
        <v>32</v>
      </c>
      <c r="T23" s="40" t="s">
        <v>29</v>
      </c>
      <c r="U23" s="41" t="s">
        <v>330</v>
      </c>
      <c r="V23" s="42"/>
    </row>
    <row r="24" spans="1:22" s="43" customFormat="1" ht="15" x14ac:dyDescent="0.2">
      <c r="A24" s="35"/>
      <c r="B24" s="35">
        <v>20</v>
      </c>
      <c r="C24" s="35" t="s">
        <v>113</v>
      </c>
      <c r="D24" s="35" t="s">
        <v>114</v>
      </c>
      <c r="E24" s="35"/>
      <c r="F24" s="35"/>
      <c r="G24" s="35"/>
      <c r="H24" s="35" t="s">
        <v>111</v>
      </c>
      <c r="I24" s="35">
        <v>5012</v>
      </c>
      <c r="J24" s="37">
        <v>3</v>
      </c>
      <c r="K24" s="35">
        <v>4</v>
      </c>
      <c r="L24" s="35">
        <f t="shared" si="0"/>
        <v>12</v>
      </c>
      <c r="M24" s="35" t="s">
        <v>27</v>
      </c>
      <c r="N24" s="38" t="s">
        <v>115</v>
      </c>
      <c r="O24" s="39">
        <v>0.32</v>
      </c>
      <c r="P24" s="39">
        <f t="shared" si="1"/>
        <v>3.84</v>
      </c>
      <c r="Q24" s="35">
        <v>152177</v>
      </c>
      <c r="R24" s="35">
        <v>100</v>
      </c>
      <c r="S24" s="39">
        <f t="shared" si="2"/>
        <v>32</v>
      </c>
      <c r="T24" s="40" t="s">
        <v>29</v>
      </c>
      <c r="U24" s="44" t="s">
        <v>330</v>
      </c>
      <c r="V24" s="35"/>
    </row>
    <row r="25" spans="1:22" s="43" customFormat="1" ht="15" x14ac:dyDescent="0.2">
      <c r="A25" s="35"/>
      <c r="B25" s="35">
        <v>21</v>
      </c>
      <c r="C25" s="35" t="s">
        <v>116</v>
      </c>
      <c r="D25" s="35" t="s">
        <v>117</v>
      </c>
      <c r="E25" s="35"/>
      <c r="F25" s="36"/>
      <c r="G25" s="35"/>
      <c r="H25" s="35" t="s">
        <v>111</v>
      </c>
      <c r="I25" s="35">
        <v>5010</v>
      </c>
      <c r="J25" s="37">
        <v>7</v>
      </c>
      <c r="K25" s="35">
        <v>4</v>
      </c>
      <c r="L25" s="35">
        <f t="shared" si="0"/>
        <v>28</v>
      </c>
      <c r="M25" s="35" t="s">
        <v>27</v>
      </c>
      <c r="N25" s="38" t="s">
        <v>118</v>
      </c>
      <c r="O25" s="39">
        <v>0.34</v>
      </c>
      <c r="P25" s="39">
        <f t="shared" si="1"/>
        <v>9.5200000000000014</v>
      </c>
      <c r="Q25" s="35">
        <v>169024</v>
      </c>
      <c r="R25" s="35">
        <v>100</v>
      </c>
      <c r="S25" s="39">
        <f t="shared" si="2"/>
        <v>34</v>
      </c>
      <c r="T25" s="40" t="s">
        <v>29</v>
      </c>
      <c r="U25" s="41" t="s">
        <v>330</v>
      </c>
      <c r="V25" s="42"/>
    </row>
    <row r="26" spans="1:22" ht="15" x14ac:dyDescent="0.2">
      <c r="A26" s="19"/>
      <c r="B26" s="19">
        <v>22</v>
      </c>
      <c r="C26" s="19" t="s">
        <v>119</v>
      </c>
      <c r="D26" s="19" t="s">
        <v>120</v>
      </c>
      <c r="E26" s="19"/>
      <c r="F26" s="19" t="s">
        <v>121</v>
      </c>
      <c r="G26" s="19"/>
      <c r="H26" s="19" t="s">
        <v>122</v>
      </c>
      <c r="I26" s="19" t="s">
        <v>123</v>
      </c>
      <c r="J26" s="27">
        <v>1</v>
      </c>
      <c r="K26" s="19">
        <v>4</v>
      </c>
      <c r="L26" s="19">
        <f t="shared" si="0"/>
        <v>4</v>
      </c>
      <c r="M26" s="19" t="s">
        <v>27</v>
      </c>
      <c r="N26" s="21" t="s">
        <v>124</v>
      </c>
      <c r="O26" s="22">
        <v>0.1</v>
      </c>
      <c r="P26" s="22">
        <f t="shared" si="1"/>
        <v>0.4</v>
      </c>
      <c r="Q26" s="19">
        <v>16222</v>
      </c>
      <c r="R26" s="19">
        <v>50</v>
      </c>
      <c r="S26" s="22">
        <f t="shared" si="2"/>
        <v>5</v>
      </c>
      <c r="T26" s="28" t="s">
        <v>29</v>
      </c>
      <c r="U26" s="23"/>
      <c r="V26" s="23"/>
    </row>
    <row r="27" spans="1:22" ht="15" x14ac:dyDescent="0.2">
      <c r="A27" s="19"/>
      <c r="B27" s="19">
        <v>23</v>
      </c>
      <c r="C27" s="19" t="s">
        <v>125</v>
      </c>
      <c r="D27" s="19" t="s">
        <v>126</v>
      </c>
      <c r="E27" s="19"/>
      <c r="F27" s="20" t="s">
        <v>121</v>
      </c>
      <c r="G27" s="19"/>
      <c r="H27" s="19" t="s">
        <v>127</v>
      </c>
      <c r="I27" s="19" t="s">
        <v>128</v>
      </c>
      <c r="J27" s="27">
        <v>1</v>
      </c>
      <c r="K27" s="19">
        <v>4</v>
      </c>
      <c r="L27" s="19">
        <f t="shared" si="0"/>
        <v>4</v>
      </c>
      <c r="M27" s="19" t="s">
        <v>27</v>
      </c>
      <c r="N27" s="21" t="s">
        <v>129</v>
      </c>
      <c r="O27" s="22">
        <v>0.1</v>
      </c>
      <c r="P27" s="22">
        <f t="shared" si="1"/>
        <v>0.4</v>
      </c>
      <c r="Q27" s="19">
        <v>179968</v>
      </c>
      <c r="R27" s="19">
        <v>250</v>
      </c>
      <c r="S27" s="22">
        <f t="shared" si="2"/>
        <v>25</v>
      </c>
      <c r="T27" s="28" t="s">
        <v>29</v>
      </c>
      <c r="U27" s="23"/>
      <c r="V27" s="23"/>
    </row>
    <row r="28" spans="1:22" ht="15" x14ac:dyDescent="0.2">
      <c r="A28" s="19"/>
      <c r="B28" s="19">
        <v>24</v>
      </c>
      <c r="C28" s="19" t="s">
        <v>130</v>
      </c>
      <c r="D28" s="19" t="s">
        <v>131</v>
      </c>
      <c r="E28" s="19"/>
      <c r="F28" s="20" t="s">
        <v>121</v>
      </c>
      <c r="G28" s="19"/>
      <c r="H28" s="19" t="s">
        <v>132</v>
      </c>
      <c r="I28" s="19" t="s">
        <v>133</v>
      </c>
      <c r="J28" s="27">
        <v>2</v>
      </c>
      <c r="K28" s="19">
        <v>4</v>
      </c>
      <c r="L28" s="19">
        <f t="shared" si="0"/>
        <v>8</v>
      </c>
      <c r="M28" s="19" t="s">
        <v>27</v>
      </c>
      <c r="N28" s="21" t="s">
        <v>134</v>
      </c>
      <c r="O28" s="22">
        <v>0.1</v>
      </c>
      <c r="P28" s="22">
        <f t="shared" si="1"/>
        <v>0.8</v>
      </c>
      <c r="Q28" s="19">
        <v>96405</v>
      </c>
      <c r="R28" s="19">
        <v>250</v>
      </c>
      <c r="S28" s="22">
        <f t="shared" si="2"/>
        <v>25</v>
      </c>
      <c r="T28" s="28" t="s">
        <v>29</v>
      </c>
      <c r="U28" s="23"/>
      <c r="V28" s="23"/>
    </row>
    <row r="29" spans="1:22" ht="15" x14ac:dyDescent="0.2">
      <c r="A29" s="19"/>
      <c r="B29" s="19">
        <v>25</v>
      </c>
      <c r="C29" s="19" t="s">
        <v>135</v>
      </c>
      <c r="D29" s="19" t="s">
        <v>136</v>
      </c>
      <c r="E29" s="19"/>
      <c r="F29" s="20" t="s">
        <v>121</v>
      </c>
      <c r="G29" s="19"/>
      <c r="H29" s="19" t="s">
        <v>137</v>
      </c>
      <c r="I29" s="19" t="s">
        <v>138</v>
      </c>
      <c r="J29" s="27">
        <v>2</v>
      </c>
      <c r="K29" s="19">
        <v>4</v>
      </c>
      <c r="L29" s="19">
        <f t="shared" si="0"/>
        <v>8</v>
      </c>
      <c r="M29" s="19" t="s">
        <v>27</v>
      </c>
      <c r="N29" s="21" t="s">
        <v>139</v>
      </c>
      <c r="O29" s="22">
        <v>0.1</v>
      </c>
      <c r="P29" s="22">
        <f t="shared" si="1"/>
        <v>0.8</v>
      </c>
      <c r="Q29" s="19">
        <v>312029</v>
      </c>
      <c r="R29" s="19">
        <v>250</v>
      </c>
      <c r="S29" s="22">
        <f t="shared" si="2"/>
        <v>25</v>
      </c>
      <c r="T29" s="28" t="s">
        <v>29</v>
      </c>
      <c r="U29" s="23"/>
      <c r="V29" s="23"/>
    </row>
    <row r="30" spans="1:22" ht="15" x14ac:dyDescent="0.2">
      <c r="A30" s="19"/>
      <c r="B30" s="19">
        <v>26</v>
      </c>
      <c r="C30" s="19" t="s">
        <v>140</v>
      </c>
      <c r="D30" s="19" t="s">
        <v>141</v>
      </c>
      <c r="E30" s="19"/>
      <c r="F30" s="20" t="s">
        <v>142</v>
      </c>
      <c r="G30" s="19"/>
      <c r="H30" s="19" t="s">
        <v>143</v>
      </c>
      <c r="I30" s="19" t="s">
        <v>144</v>
      </c>
      <c r="J30" s="27">
        <v>1</v>
      </c>
      <c r="K30" s="19">
        <v>4</v>
      </c>
      <c r="L30" s="19">
        <f t="shared" si="0"/>
        <v>4</v>
      </c>
      <c r="M30" s="19" t="s">
        <v>27</v>
      </c>
      <c r="N30" s="21" t="s">
        <v>145</v>
      </c>
      <c r="O30" s="22">
        <v>0.55000000000000004</v>
      </c>
      <c r="P30" s="22">
        <f t="shared" si="1"/>
        <v>2.2000000000000002</v>
      </c>
      <c r="Q30" s="19">
        <v>95500</v>
      </c>
      <c r="R30" s="19">
        <v>100</v>
      </c>
      <c r="S30" s="22">
        <f t="shared" si="2"/>
        <v>55.000000000000007</v>
      </c>
      <c r="T30" s="28" t="s">
        <v>29</v>
      </c>
      <c r="U30" s="23"/>
      <c r="V30" s="23"/>
    </row>
    <row r="31" spans="1:22" ht="15" x14ac:dyDescent="0.2">
      <c r="A31" s="19"/>
      <c r="B31" s="19">
        <v>27</v>
      </c>
      <c r="C31" s="19" t="s">
        <v>146</v>
      </c>
      <c r="D31" s="19" t="s">
        <v>147</v>
      </c>
      <c r="E31" s="19"/>
      <c r="F31" s="20" t="s">
        <v>121</v>
      </c>
      <c r="G31" s="19"/>
      <c r="H31" s="19" t="s">
        <v>127</v>
      </c>
      <c r="I31" s="19" t="s">
        <v>148</v>
      </c>
      <c r="J31" s="27">
        <v>4</v>
      </c>
      <c r="K31" s="19">
        <v>4</v>
      </c>
      <c r="L31" s="19">
        <f t="shared" si="0"/>
        <v>16</v>
      </c>
      <c r="M31" s="19" t="s">
        <v>27</v>
      </c>
      <c r="N31" s="21" t="s">
        <v>149</v>
      </c>
      <c r="O31" s="22">
        <v>0.1</v>
      </c>
      <c r="P31" s="22">
        <f t="shared" si="1"/>
        <v>1.6</v>
      </c>
      <c r="Q31" s="19">
        <v>278907</v>
      </c>
      <c r="R31" s="19">
        <v>250</v>
      </c>
      <c r="S31" s="22">
        <f t="shared" si="2"/>
        <v>25</v>
      </c>
      <c r="T31" s="28" t="s">
        <v>29</v>
      </c>
      <c r="U31" s="23"/>
      <c r="V31" s="23"/>
    </row>
    <row r="32" spans="1:22" ht="15" x14ac:dyDescent="0.2">
      <c r="A32" s="19"/>
      <c r="B32" s="19">
        <v>28</v>
      </c>
      <c r="C32" s="19" t="s">
        <v>150</v>
      </c>
      <c r="D32" s="19" t="s">
        <v>151</v>
      </c>
      <c r="E32" s="19"/>
      <c r="F32" s="20" t="s">
        <v>121</v>
      </c>
      <c r="G32" s="19"/>
      <c r="H32" s="19" t="s">
        <v>152</v>
      </c>
      <c r="I32" s="19" t="s">
        <v>153</v>
      </c>
      <c r="J32" s="27">
        <v>3</v>
      </c>
      <c r="K32" s="19">
        <v>4</v>
      </c>
      <c r="L32" s="19">
        <f t="shared" si="0"/>
        <v>12</v>
      </c>
      <c r="M32" s="19" t="s">
        <v>27</v>
      </c>
      <c r="N32" s="21" t="s">
        <v>154</v>
      </c>
      <c r="O32" s="22">
        <v>0.1</v>
      </c>
      <c r="P32" s="22">
        <f t="shared" si="1"/>
        <v>1.2000000000000002</v>
      </c>
      <c r="Q32" s="19">
        <v>651385</v>
      </c>
      <c r="R32" s="19">
        <v>250</v>
      </c>
      <c r="S32" s="22">
        <f t="shared" si="2"/>
        <v>25</v>
      </c>
      <c r="T32" s="28" t="s">
        <v>29</v>
      </c>
      <c r="U32" s="23"/>
      <c r="V32" s="23"/>
    </row>
    <row r="33" spans="1:22" ht="15" x14ac:dyDescent="0.2">
      <c r="A33" s="19"/>
      <c r="B33" s="19">
        <v>29</v>
      </c>
      <c r="C33" s="19" t="s">
        <v>155</v>
      </c>
      <c r="D33" s="19" t="s">
        <v>156</v>
      </c>
      <c r="E33" s="19"/>
      <c r="F33" s="20" t="s">
        <v>121</v>
      </c>
      <c r="G33" s="19"/>
      <c r="H33" s="19" t="s">
        <v>132</v>
      </c>
      <c r="I33" s="19" t="s">
        <v>157</v>
      </c>
      <c r="J33" s="27">
        <v>1</v>
      </c>
      <c r="K33" s="19">
        <v>4</v>
      </c>
      <c r="L33" s="19">
        <f t="shared" si="0"/>
        <v>4</v>
      </c>
      <c r="M33" s="19" t="s">
        <v>27</v>
      </c>
      <c r="N33" s="21" t="s">
        <v>158</v>
      </c>
      <c r="O33" s="22">
        <v>0.1</v>
      </c>
      <c r="P33" s="22">
        <f t="shared" si="1"/>
        <v>0.4</v>
      </c>
      <c r="Q33" s="19">
        <v>57139</v>
      </c>
      <c r="R33" s="19">
        <v>250</v>
      </c>
      <c r="S33" s="22">
        <f t="shared" si="2"/>
        <v>25</v>
      </c>
      <c r="T33" s="28" t="s">
        <v>29</v>
      </c>
      <c r="U33" s="23"/>
      <c r="V33" s="23"/>
    </row>
    <row r="34" spans="1:22" ht="15" x14ac:dyDescent="0.2">
      <c r="A34" s="19"/>
      <c r="B34" s="19">
        <v>30</v>
      </c>
      <c r="C34" s="19" t="s">
        <v>159</v>
      </c>
      <c r="D34" s="19" t="s">
        <v>160</v>
      </c>
      <c r="E34" s="19"/>
      <c r="F34" s="20" t="s">
        <v>121</v>
      </c>
      <c r="G34" s="19"/>
      <c r="H34" s="19" t="s">
        <v>132</v>
      </c>
      <c r="I34" s="19" t="s">
        <v>161</v>
      </c>
      <c r="J34" s="27">
        <v>1</v>
      </c>
      <c r="K34" s="19">
        <v>4</v>
      </c>
      <c r="L34" s="19">
        <f t="shared" si="0"/>
        <v>4</v>
      </c>
      <c r="M34" s="19" t="s">
        <v>27</v>
      </c>
      <c r="N34" s="21" t="s">
        <v>162</v>
      </c>
      <c r="O34" s="22">
        <v>0.1</v>
      </c>
      <c r="P34" s="22">
        <f t="shared" si="1"/>
        <v>0.4</v>
      </c>
      <c r="Q34" s="19">
        <v>131778</v>
      </c>
      <c r="R34" s="19">
        <v>250</v>
      </c>
      <c r="S34" s="22">
        <f t="shared" si="2"/>
        <v>25</v>
      </c>
      <c r="T34" s="28" t="s">
        <v>29</v>
      </c>
      <c r="U34" s="23"/>
      <c r="V34" s="23"/>
    </row>
    <row r="35" spans="1:22" ht="15" x14ac:dyDescent="0.2">
      <c r="A35" s="19"/>
      <c r="B35" s="19">
        <v>31</v>
      </c>
      <c r="C35" s="19" t="s">
        <v>163</v>
      </c>
      <c r="D35" s="19" t="s">
        <v>164</v>
      </c>
      <c r="E35" s="19"/>
      <c r="F35" s="20" t="s">
        <v>165</v>
      </c>
      <c r="G35" s="19"/>
      <c r="H35" s="19" t="s">
        <v>152</v>
      </c>
      <c r="I35" s="19" t="s">
        <v>166</v>
      </c>
      <c r="J35" s="27">
        <v>4</v>
      </c>
      <c r="K35" s="19">
        <v>4</v>
      </c>
      <c r="L35" s="19">
        <f t="shared" si="0"/>
        <v>16</v>
      </c>
      <c r="M35" s="19" t="s">
        <v>27</v>
      </c>
      <c r="N35" s="21" t="s">
        <v>167</v>
      </c>
      <c r="O35" s="22">
        <v>2.5</v>
      </c>
      <c r="P35" s="22">
        <f t="shared" si="1"/>
        <v>40</v>
      </c>
      <c r="Q35" s="19">
        <v>3056</v>
      </c>
      <c r="R35" s="19">
        <v>25</v>
      </c>
      <c r="S35" s="22">
        <f t="shared" si="2"/>
        <v>62.5</v>
      </c>
      <c r="T35" s="28" t="s">
        <v>29</v>
      </c>
      <c r="U35" s="23"/>
      <c r="V35" s="23"/>
    </row>
    <row r="36" spans="1:22" ht="15" x14ac:dyDescent="0.2">
      <c r="A36" s="19"/>
      <c r="B36" s="19">
        <v>32</v>
      </c>
      <c r="C36" s="19" t="s">
        <v>168</v>
      </c>
      <c r="D36" s="19" t="s">
        <v>169</v>
      </c>
      <c r="E36" s="19"/>
      <c r="F36" s="20" t="s">
        <v>121</v>
      </c>
      <c r="G36" s="19"/>
      <c r="H36" s="19" t="s">
        <v>127</v>
      </c>
      <c r="I36" s="19" t="s">
        <v>170</v>
      </c>
      <c r="J36" s="27">
        <v>2</v>
      </c>
      <c r="K36" s="19">
        <v>4</v>
      </c>
      <c r="L36" s="19">
        <f t="shared" si="0"/>
        <v>8</v>
      </c>
      <c r="M36" s="19" t="s">
        <v>27</v>
      </c>
      <c r="N36" s="21" t="s">
        <v>171</v>
      </c>
      <c r="O36" s="22">
        <v>0.1</v>
      </c>
      <c r="P36" s="22">
        <f t="shared" si="1"/>
        <v>0.8</v>
      </c>
      <c r="Q36" s="19">
        <v>1049600</v>
      </c>
      <c r="R36" s="19">
        <v>1000</v>
      </c>
      <c r="S36" s="22">
        <f t="shared" si="2"/>
        <v>100</v>
      </c>
      <c r="T36" s="28" t="s">
        <v>29</v>
      </c>
      <c r="U36" s="23"/>
      <c r="V36" s="23"/>
    </row>
    <row r="37" spans="1:22" ht="15" x14ac:dyDescent="0.2">
      <c r="A37" s="19"/>
      <c r="B37" s="19">
        <v>33</v>
      </c>
      <c r="C37" s="19" t="s">
        <v>172</v>
      </c>
      <c r="D37" s="19" t="s">
        <v>173</v>
      </c>
      <c r="E37" s="19"/>
      <c r="F37" s="20" t="s">
        <v>121</v>
      </c>
      <c r="G37" s="19"/>
      <c r="H37" s="19" t="s">
        <v>152</v>
      </c>
      <c r="I37" s="19" t="s">
        <v>174</v>
      </c>
      <c r="J37" s="27">
        <v>5</v>
      </c>
      <c r="K37" s="19">
        <v>4</v>
      </c>
      <c r="L37" s="19">
        <f t="shared" si="0"/>
        <v>20</v>
      </c>
      <c r="M37" s="19" t="s">
        <v>27</v>
      </c>
      <c r="N37" s="21" t="s">
        <v>175</v>
      </c>
      <c r="O37" s="22">
        <v>0.1</v>
      </c>
      <c r="P37" s="22">
        <f t="shared" si="1"/>
        <v>2</v>
      </c>
      <c r="Q37" s="19">
        <v>148684</v>
      </c>
      <c r="R37" s="19">
        <v>250</v>
      </c>
      <c r="S37" s="22">
        <f t="shared" si="2"/>
        <v>25</v>
      </c>
      <c r="T37" s="28" t="s">
        <v>29</v>
      </c>
      <c r="U37" s="19"/>
      <c r="V37" s="19"/>
    </row>
    <row r="38" spans="1:22" ht="15" x14ac:dyDescent="0.2">
      <c r="A38" s="19"/>
      <c r="B38" s="19">
        <v>34</v>
      </c>
      <c r="C38" s="19" t="s">
        <v>176</v>
      </c>
      <c r="D38" s="19" t="s">
        <v>177</v>
      </c>
      <c r="E38" s="19"/>
      <c r="F38" s="20" t="s">
        <v>121</v>
      </c>
      <c r="G38" s="19"/>
      <c r="H38" s="19" t="s">
        <v>132</v>
      </c>
      <c r="I38" s="19" t="s">
        <v>178</v>
      </c>
      <c r="J38" s="27">
        <v>3</v>
      </c>
      <c r="K38" s="19">
        <v>4</v>
      </c>
      <c r="L38" s="19">
        <f t="shared" si="0"/>
        <v>12</v>
      </c>
      <c r="M38" s="19" t="s">
        <v>27</v>
      </c>
      <c r="N38" s="21" t="s">
        <v>179</v>
      </c>
      <c r="O38" s="22">
        <v>0.1</v>
      </c>
      <c r="P38" s="22">
        <f t="shared" si="1"/>
        <v>1.2000000000000002</v>
      </c>
      <c r="Q38" s="19">
        <v>174416</v>
      </c>
      <c r="R38" s="19">
        <v>250</v>
      </c>
      <c r="S38" s="22">
        <f t="shared" si="2"/>
        <v>25</v>
      </c>
      <c r="T38" s="28" t="s">
        <v>29</v>
      </c>
      <c r="U38" s="23"/>
      <c r="V38" s="23"/>
    </row>
    <row r="39" spans="1:22" ht="12" customHeight="1" x14ac:dyDescent="0.2">
      <c r="A39" s="19"/>
      <c r="B39" s="19">
        <v>35</v>
      </c>
      <c r="C39" s="19" t="s">
        <v>180</v>
      </c>
      <c r="D39" s="19" t="s">
        <v>181</v>
      </c>
      <c r="E39" s="19"/>
      <c r="F39" s="20" t="s">
        <v>121</v>
      </c>
      <c r="G39" s="19"/>
      <c r="H39" s="19" t="s">
        <v>132</v>
      </c>
      <c r="I39" s="19" t="s">
        <v>182</v>
      </c>
      <c r="J39" s="27">
        <v>1</v>
      </c>
      <c r="K39" s="19">
        <v>4</v>
      </c>
      <c r="L39" s="19">
        <f t="shared" si="0"/>
        <v>4</v>
      </c>
      <c r="M39" s="19" t="s">
        <v>27</v>
      </c>
      <c r="N39" s="21" t="s">
        <v>183</v>
      </c>
      <c r="O39" s="22">
        <v>0.1</v>
      </c>
      <c r="P39" s="22">
        <f t="shared" si="1"/>
        <v>0.4</v>
      </c>
      <c r="Q39" s="19">
        <v>175340</v>
      </c>
      <c r="R39" s="19">
        <v>250</v>
      </c>
      <c r="S39" s="22">
        <f t="shared" si="2"/>
        <v>25</v>
      </c>
      <c r="T39" s="28" t="s">
        <v>29</v>
      </c>
      <c r="U39" s="23"/>
      <c r="V39" s="23"/>
    </row>
    <row r="40" spans="1:22" ht="15" x14ac:dyDescent="0.2">
      <c r="A40" s="19"/>
      <c r="B40" s="19">
        <v>36</v>
      </c>
      <c r="C40" s="19" t="s">
        <v>184</v>
      </c>
      <c r="D40" s="19" t="s">
        <v>185</v>
      </c>
      <c r="E40" s="19"/>
      <c r="F40" s="20" t="s">
        <v>121</v>
      </c>
      <c r="G40" s="19"/>
      <c r="H40" s="19" t="s">
        <v>122</v>
      </c>
      <c r="I40" s="19" t="s">
        <v>186</v>
      </c>
      <c r="J40" s="27">
        <v>2</v>
      </c>
      <c r="K40" s="19">
        <v>4</v>
      </c>
      <c r="L40" s="19">
        <f t="shared" si="0"/>
        <v>8</v>
      </c>
      <c r="M40" s="19" t="s">
        <v>27</v>
      </c>
      <c r="N40" s="21" t="s">
        <v>187</v>
      </c>
      <c r="O40" s="22">
        <v>0.27</v>
      </c>
      <c r="P40" s="22">
        <f t="shared" si="1"/>
        <v>2.16</v>
      </c>
      <c r="Q40" s="19">
        <v>67367</v>
      </c>
      <c r="R40" s="19">
        <v>250</v>
      </c>
      <c r="S40" s="22">
        <f t="shared" si="2"/>
        <v>67.5</v>
      </c>
      <c r="T40" s="28" t="s">
        <v>29</v>
      </c>
      <c r="U40" s="23"/>
      <c r="V40" s="23"/>
    </row>
    <row r="41" spans="1:22" ht="15" x14ac:dyDescent="0.2">
      <c r="A41" s="19"/>
      <c r="B41" s="19">
        <v>37</v>
      </c>
      <c r="C41" s="19" t="s">
        <v>188</v>
      </c>
      <c r="D41" s="19" t="s">
        <v>189</v>
      </c>
      <c r="E41" s="19"/>
      <c r="F41" s="20" t="s">
        <v>121</v>
      </c>
      <c r="G41" s="19"/>
      <c r="H41" s="19" t="s">
        <v>152</v>
      </c>
      <c r="I41" s="19" t="s">
        <v>190</v>
      </c>
      <c r="J41" s="27">
        <v>1</v>
      </c>
      <c r="K41" s="19">
        <v>4</v>
      </c>
      <c r="L41" s="19">
        <f t="shared" si="0"/>
        <v>4</v>
      </c>
      <c r="M41" s="19" t="s">
        <v>27</v>
      </c>
      <c r="N41" s="21" t="s">
        <v>191</v>
      </c>
      <c r="O41" s="22">
        <v>0.1</v>
      </c>
      <c r="P41" s="22">
        <f t="shared" si="1"/>
        <v>0.4</v>
      </c>
      <c r="Q41" s="19">
        <v>136752</v>
      </c>
      <c r="R41" s="19">
        <v>250</v>
      </c>
      <c r="S41" s="22">
        <f t="shared" si="2"/>
        <v>25</v>
      </c>
      <c r="T41" s="28" t="s">
        <v>29</v>
      </c>
      <c r="U41" s="23"/>
      <c r="V41" s="23"/>
    </row>
    <row r="42" spans="1:22" s="43" customFormat="1" ht="15" x14ac:dyDescent="0.2">
      <c r="A42" s="35"/>
      <c r="B42" s="35">
        <v>38</v>
      </c>
      <c r="C42" s="35" t="s">
        <v>192</v>
      </c>
      <c r="D42" s="35" t="s">
        <v>193</v>
      </c>
      <c r="E42" s="35"/>
      <c r="F42" s="36" t="s">
        <v>121</v>
      </c>
      <c r="G42" s="35"/>
      <c r="H42" s="35" t="s">
        <v>127</v>
      </c>
      <c r="I42" s="35" t="s">
        <v>194</v>
      </c>
      <c r="J42" s="37">
        <v>5</v>
      </c>
      <c r="K42" s="35">
        <v>4</v>
      </c>
      <c r="L42" s="35">
        <f t="shared" si="0"/>
        <v>20</v>
      </c>
      <c r="M42" s="35" t="s">
        <v>27</v>
      </c>
      <c r="N42" s="38" t="s">
        <v>195</v>
      </c>
      <c r="O42" s="39">
        <v>0.1</v>
      </c>
      <c r="P42" s="39">
        <f t="shared" si="1"/>
        <v>2</v>
      </c>
      <c r="Q42" s="35">
        <v>1087280</v>
      </c>
      <c r="R42" s="35">
        <v>0</v>
      </c>
      <c r="S42" s="39">
        <f t="shared" si="2"/>
        <v>0</v>
      </c>
      <c r="T42" s="40" t="s">
        <v>29</v>
      </c>
      <c r="U42" s="41" t="s">
        <v>330</v>
      </c>
      <c r="V42" s="42"/>
    </row>
    <row r="43" spans="1:22" ht="15" x14ac:dyDescent="0.2">
      <c r="A43" s="19"/>
      <c r="B43" s="19">
        <v>39</v>
      </c>
      <c r="C43" s="19" t="s">
        <v>196</v>
      </c>
      <c r="D43" s="19" t="s">
        <v>197</v>
      </c>
      <c r="E43" s="19"/>
      <c r="F43" s="20" t="s">
        <v>121</v>
      </c>
      <c r="G43" s="19"/>
      <c r="H43" s="19" t="s">
        <v>152</v>
      </c>
      <c r="I43" s="19" t="s">
        <v>198</v>
      </c>
      <c r="J43" s="27">
        <v>24</v>
      </c>
      <c r="K43" s="19">
        <v>4</v>
      </c>
      <c r="L43" s="19">
        <f t="shared" si="0"/>
        <v>96</v>
      </c>
      <c r="M43" s="19" t="s">
        <v>27</v>
      </c>
      <c r="N43" s="21" t="s">
        <v>199</v>
      </c>
      <c r="O43" s="22">
        <v>0.1</v>
      </c>
      <c r="P43" s="22">
        <f t="shared" si="1"/>
        <v>9.6000000000000014</v>
      </c>
      <c r="Q43" s="19">
        <v>1218191</v>
      </c>
      <c r="R43" s="19">
        <v>500</v>
      </c>
      <c r="S43" s="22">
        <f t="shared" si="2"/>
        <v>50</v>
      </c>
      <c r="T43" s="28" t="s">
        <v>29</v>
      </c>
      <c r="U43" s="23"/>
      <c r="V43" s="23"/>
    </row>
    <row r="44" spans="1:22" ht="15" x14ac:dyDescent="0.2">
      <c r="A44" s="19"/>
      <c r="B44" s="19">
        <v>40</v>
      </c>
      <c r="C44" s="19" t="s">
        <v>200</v>
      </c>
      <c r="D44" s="19" t="s">
        <v>201</v>
      </c>
      <c r="E44" s="19"/>
      <c r="F44" s="20" t="s">
        <v>202</v>
      </c>
      <c r="G44" s="19"/>
      <c r="H44" s="19" t="s">
        <v>122</v>
      </c>
      <c r="I44" s="19" t="s">
        <v>203</v>
      </c>
      <c r="J44" s="27">
        <v>2</v>
      </c>
      <c r="K44" s="19">
        <v>4</v>
      </c>
      <c r="L44" s="19">
        <f t="shared" si="0"/>
        <v>8</v>
      </c>
      <c r="M44" s="19" t="s">
        <v>27</v>
      </c>
      <c r="N44" s="21" t="s">
        <v>204</v>
      </c>
      <c r="O44" s="22">
        <v>0.61</v>
      </c>
      <c r="P44" s="22">
        <f t="shared" si="1"/>
        <v>4.88</v>
      </c>
      <c r="Q44" s="19">
        <v>4174</v>
      </c>
      <c r="R44" s="19">
        <v>25</v>
      </c>
      <c r="S44" s="22">
        <f t="shared" si="2"/>
        <v>15.25</v>
      </c>
      <c r="T44" s="28" t="s">
        <v>29</v>
      </c>
      <c r="U44" s="23"/>
      <c r="V44" s="23"/>
    </row>
    <row r="45" spans="1:22" ht="12.75" customHeight="1" x14ac:dyDescent="0.2">
      <c r="A45" s="19" t="s">
        <v>205</v>
      </c>
      <c r="B45" s="19">
        <v>41</v>
      </c>
      <c r="C45" s="19" t="s">
        <v>206</v>
      </c>
      <c r="D45" s="19" t="s">
        <v>193</v>
      </c>
      <c r="E45" s="19"/>
      <c r="F45" s="20" t="s">
        <v>121</v>
      </c>
      <c r="G45" s="19"/>
      <c r="H45" s="19" t="s">
        <v>127</v>
      </c>
      <c r="I45" s="19" t="s">
        <v>194</v>
      </c>
      <c r="J45" s="27">
        <v>161</v>
      </c>
      <c r="K45" s="19">
        <v>4</v>
      </c>
      <c r="L45" s="19">
        <f t="shared" si="0"/>
        <v>644</v>
      </c>
      <c r="M45" s="19" t="s">
        <v>27</v>
      </c>
      <c r="N45" s="21" t="s">
        <v>195</v>
      </c>
      <c r="O45" s="22">
        <v>0.1</v>
      </c>
      <c r="P45" s="22">
        <f t="shared" si="1"/>
        <v>64.400000000000006</v>
      </c>
      <c r="Q45" s="19">
        <v>1087280</v>
      </c>
      <c r="R45" s="19">
        <v>1000</v>
      </c>
      <c r="S45" s="22">
        <f t="shared" si="2"/>
        <v>100</v>
      </c>
      <c r="T45" s="28" t="s">
        <v>29</v>
      </c>
      <c r="U45" s="23"/>
      <c r="V45" s="23"/>
    </row>
    <row r="46" spans="1:22" ht="15" x14ac:dyDescent="0.2">
      <c r="A46" s="19"/>
      <c r="B46" s="19">
        <v>42</v>
      </c>
      <c r="C46" s="19" t="s">
        <v>207</v>
      </c>
      <c r="D46" s="19" t="s">
        <v>208</v>
      </c>
      <c r="E46" s="19"/>
      <c r="F46" s="20" t="s">
        <v>209</v>
      </c>
      <c r="G46" s="19"/>
      <c r="H46" s="19" t="s">
        <v>210</v>
      </c>
      <c r="I46" s="19" t="s">
        <v>211</v>
      </c>
      <c r="J46" s="27">
        <v>4</v>
      </c>
      <c r="K46" s="19">
        <v>4</v>
      </c>
      <c r="L46" s="19">
        <f t="shared" si="0"/>
        <v>16</v>
      </c>
      <c r="M46" s="19" t="s">
        <v>27</v>
      </c>
      <c r="N46" s="21" t="s">
        <v>212</v>
      </c>
      <c r="O46" s="22">
        <v>3.14</v>
      </c>
      <c r="P46" s="22">
        <f t="shared" si="1"/>
        <v>50.24</v>
      </c>
      <c r="Q46" s="19">
        <v>1411</v>
      </c>
      <c r="R46" s="19">
        <v>25</v>
      </c>
      <c r="S46" s="22">
        <f t="shared" si="2"/>
        <v>78.5</v>
      </c>
      <c r="T46" s="28" t="s">
        <v>29</v>
      </c>
      <c r="U46" s="23"/>
      <c r="V46" s="23"/>
    </row>
    <row r="47" spans="1:22" ht="15" x14ac:dyDescent="0.2">
      <c r="A47" s="19"/>
      <c r="B47" s="19">
        <v>43</v>
      </c>
      <c r="C47" s="19" t="s">
        <v>213</v>
      </c>
      <c r="D47" s="19" t="s">
        <v>214</v>
      </c>
      <c r="E47" s="19"/>
      <c r="F47" s="20" t="s">
        <v>202</v>
      </c>
      <c r="G47" s="19"/>
      <c r="H47" s="19" t="s">
        <v>215</v>
      </c>
      <c r="I47" s="19" t="s">
        <v>216</v>
      </c>
      <c r="J47" s="27">
        <v>1</v>
      </c>
      <c r="K47" s="19">
        <v>4</v>
      </c>
      <c r="L47" s="19">
        <f t="shared" si="0"/>
        <v>4</v>
      </c>
      <c r="M47" s="19" t="s">
        <v>27</v>
      </c>
      <c r="N47" s="21" t="s">
        <v>217</v>
      </c>
      <c r="O47" s="22">
        <v>0.18</v>
      </c>
      <c r="P47" s="22">
        <f t="shared" si="1"/>
        <v>0.72</v>
      </c>
      <c r="Q47" s="19">
        <v>41770</v>
      </c>
      <c r="R47" s="19">
        <v>50</v>
      </c>
      <c r="S47" s="22">
        <f t="shared" si="2"/>
        <v>9</v>
      </c>
      <c r="T47" s="28" t="s">
        <v>29</v>
      </c>
      <c r="U47" s="23"/>
      <c r="V47" s="23"/>
    </row>
    <row r="48" spans="1:22" ht="12.75" customHeight="1" x14ac:dyDescent="0.2">
      <c r="A48" s="19"/>
      <c r="B48" s="19">
        <v>44</v>
      </c>
      <c r="C48" s="19" t="s">
        <v>218</v>
      </c>
      <c r="D48" s="19" t="s">
        <v>219</v>
      </c>
      <c r="E48" s="19"/>
      <c r="F48" s="20" t="s">
        <v>220</v>
      </c>
      <c r="G48" s="19"/>
      <c r="H48" s="19" t="s">
        <v>143</v>
      </c>
      <c r="I48" s="19" t="s">
        <v>221</v>
      </c>
      <c r="J48" s="27">
        <v>2</v>
      </c>
      <c r="K48" s="19">
        <v>4</v>
      </c>
      <c r="L48" s="19">
        <f t="shared" si="0"/>
        <v>8</v>
      </c>
      <c r="M48" s="19" t="s">
        <v>27</v>
      </c>
      <c r="N48" s="21" t="s">
        <v>222</v>
      </c>
      <c r="O48" s="22">
        <v>3.52</v>
      </c>
      <c r="P48" s="22">
        <f t="shared" si="1"/>
        <v>28.16</v>
      </c>
      <c r="Q48" s="19">
        <v>1663</v>
      </c>
      <c r="R48" s="19">
        <v>15</v>
      </c>
      <c r="S48" s="22">
        <f t="shared" si="2"/>
        <v>52.8</v>
      </c>
      <c r="T48" s="28" t="s">
        <v>29</v>
      </c>
      <c r="U48" s="23"/>
      <c r="V48" s="23"/>
    </row>
    <row r="49" spans="1:22" ht="15" x14ac:dyDescent="0.2">
      <c r="A49" s="19"/>
      <c r="B49" s="19">
        <v>45</v>
      </c>
      <c r="C49" s="19" t="s">
        <v>223</v>
      </c>
      <c r="D49" s="19" t="s">
        <v>224</v>
      </c>
      <c r="E49" s="19"/>
      <c r="F49" s="20" t="s">
        <v>24</v>
      </c>
      <c r="G49" s="19"/>
      <c r="H49" s="19" t="s">
        <v>225</v>
      </c>
      <c r="I49" s="19">
        <v>744771008</v>
      </c>
      <c r="J49" s="27">
        <v>1</v>
      </c>
      <c r="K49" s="19">
        <v>4</v>
      </c>
      <c r="L49" s="19">
        <f t="shared" si="0"/>
        <v>4</v>
      </c>
      <c r="M49" s="19" t="s">
        <v>27</v>
      </c>
      <c r="N49" s="21" t="s">
        <v>226</v>
      </c>
      <c r="O49" s="22">
        <v>2.2599999999999998</v>
      </c>
      <c r="P49" s="22">
        <f t="shared" si="1"/>
        <v>9.0399999999999991</v>
      </c>
      <c r="Q49" s="19">
        <v>85</v>
      </c>
      <c r="R49" s="19">
        <v>10</v>
      </c>
      <c r="S49" s="22">
        <f t="shared" si="2"/>
        <v>22.599999999999998</v>
      </c>
      <c r="T49" s="28" t="s">
        <v>29</v>
      </c>
      <c r="U49" s="23"/>
      <c r="V49" s="23"/>
    </row>
    <row r="50" spans="1:22" ht="15" x14ac:dyDescent="0.2">
      <c r="A50" s="19"/>
      <c r="B50" s="19">
        <v>46</v>
      </c>
      <c r="C50" s="19" t="s">
        <v>227</v>
      </c>
      <c r="D50" s="19" t="s">
        <v>228</v>
      </c>
      <c r="E50" s="19"/>
      <c r="F50" s="20" t="s">
        <v>202</v>
      </c>
      <c r="G50" s="19"/>
      <c r="H50" s="19" t="s">
        <v>229</v>
      </c>
      <c r="I50" s="19" t="s">
        <v>230</v>
      </c>
      <c r="J50" s="27">
        <v>1</v>
      </c>
      <c r="K50" s="19">
        <v>4</v>
      </c>
      <c r="L50" s="19">
        <f t="shared" si="0"/>
        <v>4</v>
      </c>
      <c r="M50" s="19" t="s">
        <v>27</v>
      </c>
      <c r="N50" s="21" t="s">
        <v>231</v>
      </c>
      <c r="O50" s="22">
        <v>2.3199999999999998</v>
      </c>
      <c r="P50" s="22">
        <f t="shared" si="1"/>
        <v>9.2799999999999994</v>
      </c>
      <c r="Q50" s="19">
        <v>10547</v>
      </c>
      <c r="R50" s="19">
        <v>6</v>
      </c>
      <c r="S50" s="22">
        <f t="shared" si="2"/>
        <v>13.919999999999998</v>
      </c>
      <c r="T50" s="28" t="s">
        <v>29</v>
      </c>
      <c r="U50" s="23"/>
      <c r="V50" s="23"/>
    </row>
    <row r="51" spans="1:22" s="43" customFormat="1" ht="15" x14ac:dyDescent="0.2">
      <c r="A51" s="35"/>
      <c r="B51" s="35">
        <v>47</v>
      </c>
      <c r="C51" s="35" t="s">
        <v>232</v>
      </c>
      <c r="D51" s="35" t="s">
        <v>233</v>
      </c>
      <c r="E51" s="35"/>
      <c r="F51" s="36" t="s">
        <v>234</v>
      </c>
      <c r="G51" s="35"/>
      <c r="H51" s="35" t="s">
        <v>235</v>
      </c>
      <c r="I51" s="35" t="s">
        <v>236</v>
      </c>
      <c r="J51" s="37">
        <v>2</v>
      </c>
      <c r="K51" s="35">
        <v>4</v>
      </c>
      <c r="L51" s="35">
        <f t="shared" si="0"/>
        <v>8</v>
      </c>
      <c r="M51" s="35" t="s">
        <v>27</v>
      </c>
      <c r="N51" s="38" t="s">
        <v>237</v>
      </c>
      <c r="O51" s="39">
        <v>0.14000000000000001</v>
      </c>
      <c r="P51" s="39">
        <f t="shared" si="1"/>
        <v>1.1200000000000001</v>
      </c>
      <c r="Q51" s="35">
        <v>5170</v>
      </c>
      <c r="R51" s="35">
        <v>500</v>
      </c>
      <c r="S51" s="39">
        <f t="shared" si="2"/>
        <v>70</v>
      </c>
      <c r="T51" s="40" t="s">
        <v>29</v>
      </c>
      <c r="U51" s="41" t="s">
        <v>330</v>
      </c>
      <c r="V51" s="42"/>
    </row>
    <row r="52" spans="1:22" ht="15" x14ac:dyDescent="0.2">
      <c r="A52" s="19"/>
      <c r="B52" s="19">
        <v>48</v>
      </c>
      <c r="C52" s="19" t="s">
        <v>238</v>
      </c>
      <c r="D52" s="19" t="s">
        <v>239</v>
      </c>
      <c r="E52" s="19"/>
      <c r="F52" s="20" t="s">
        <v>234</v>
      </c>
      <c r="G52" s="19"/>
      <c r="H52" s="19" t="s">
        <v>240</v>
      </c>
      <c r="I52" s="19">
        <v>1053091306</v>
      </c>
      <c r="J52" s="27">
        <v>1</v>
      </c>
      <c r="K52" s="19">
        <v>4</v>
      </c>
      <c r="L52" s="19">
        <f t="shared" si="0"/>
        <v>4</v>
      </c>
      <c r="M52" s="19" t="s">
        <v>27</v>
      </c>
      <c r="N52" s="21" t="s">
        <v>241</v>
      </c>
      <c r="O52" s="22">
        <v>2.68</v>
      </c>
      <c r="P52" s="22">
        <f t="shared" si="1"/>
        <v>10.72</v>
      </c>
      <c r="Q52" s="19">
        <v>2329</v>
      </c>
      <c r="R52" s="19">
        <v>6</v>
      </c>
      <c r="S52" s="22">
        <f t="shared" si="2"/>
        <v>16.080000000000002</v>
      </c>
      <c r="T52" s="28" t="s">
        <v>29</v>
      </c>
      <c r="U52" s="23"/>
      <c r="V52" s="23"/>
    </row>
    <row r="53" spans="1:22" ht="15" x14ac:dyDescent="0.2">
      <c r="A53" s="19"/>
      <c r="B53" s="19">
        <v>49</v>
      </c>
      <c r="C53" s="19" t="s">
        <v>242</v>
      </c>
      <c r="D53" s="19" t="s">
        <v>243</v>
      </c>
      <c r="E53" s="19"/>
      <c r="F53" s="20" t="s">
        <v>244</v>
      </c>
      <c r="G53" s="19"/>
      <c r="H53" s="19" t="s">
        <v>245</v>
      </c>
      <c r="I53" s="19" t="s">
        <v>246</v>
      </c>
      <c r="J53" s="27">
        <v>1</v>
      </c>
      <c r="K53" s="19">
        <v>4</v>
      </c>
      <c r="L53" s="19">
        <f t="shared" si="0"/>
        <v>4</v>
      </c>
      <c r="M53" s="19" t="s">
        <v>27</v>
      </c>
      <c r="N53" s="21" t="s">
        <v>247</v>
      </c>
      <c r="O53" s="22">
        <v>0.35</v>
      </c>
      <c r="P53" s="22">
        <f t="shared" si="1"/>
        <v>1.4</v>
      </c>
      <c r="Q53" s="19">
        <v>101</v>
      </c>
      <c r="R53" s="19">
        <v>6</v>
      </c>
      <c r="S53" s="22">
        <f t="shared" si="2"/>
        <v>2.0999999999999996</v>
      </c>
      <c r="T53" s="28" t="s">
        <v>29</v>
      </c>
      <c r="U53" s="23"/>
      <c r="V53" s="23"/>
    </row>
    <row r="54" spans="1:22" s="53" customFormat="1" ht="15" x14ac:dyDescent="0.2">
      <c r="A54" s="45"/>
      <c r="B54" s="45">
        <v>50</v>
      </c>
      <c r="C54" s="45" t="s">
        <v>248</v>
      </c>
      <c r="D54" s="45" t="s">
        <v>249</v>
      </c>
      <c r="E54" s="45"/>
      <c r="F54" s="46" t="s">
        <v>234</v>
      </c>
      <c r="G54" s="45"/>
      <c r="H54" s="45" t="s">
        <v>240</v>
      </c>
      <c r="I54" s="45">
        <v>1722861103</v>
      </c>
      <c r="J54" s="47">
        <v>1</v>
      </c>
      <c r="K54" s="45">
        <v>4</v>
      </c>
      <c r="L54" s="45">
        <f t="shared" si="0"/>
        <v>4</v>
      </c>
      <c r="M54" s="48" t="s">
        <v>329</v>
      </c>
      <c r="N54" s="49" t="s">
        <v>331</v>
      </c>
      <c r="O54" s="50">
        <v>0.78</v>
      </c>
      <c r="P54" s="50">
        <f t="shared" si="1"/>
        <v>3.12</v>
      </c>
      <c r="Q54" s="45">
        <v>741</v>
      </c>
      <c r="R54" s="45">
        <v>6</v>
      </c>
      <c r="S54" s="50">
        <f t="shared" si="2"/>
        <v>4.68</v>
      </c>
      <c r="T54" s="51" t="s">
        <v>29</v>
      </c>
      <c r="U54" s="52"/>
      <c r="V54" s="52"/>
    </row>
    <row r="55" spans="1:22" ht="15" x14ac:dyDescent="0.2">
      <c r="A55" s="19"/>
      <c r="B55" s="19">
        <v>51</v>
      </c>
      <c r="C55" s="19" t="s">
        <v>250</v>
      </c>
      <c r="D55" s="19" t="s">
        <v>251</v>
      </c>
      <c r="E55" s="19"/>
      <c r="F55" s="20" t="s">
        <v>234</v>
      </c>
      <c r="G55" s="19"/>
      <c r="H55" s="19" t="s">
        <v>240</v>
      </c>
      <c r="I55" s="19">
        <v>1053091103</v>
      </c>
      <c r="J55" s="27">
        <v>1</v>
      </c>
      <c r="K55" s="19">
        <v>4</v>
      </c>
      <c r="L55" s="19">
        <f t="shared" si="0"/>
        <v>4</v>
      </c>
      <c r="M55" s="19" t="s">
        <v>27</v>
      </c>
      <c r="N55" s="21" t="s">
        <v>252</v>
      </c>
      <c r="O55" s="22">
        <v>1.01</v>
      </c>
      <c r="P55" s="22">
        <f t="shared" si="1"/>
        <v>4.04</v>
      </c>
      <c r="Q55" s="19">
        <v>20913</v>
      </c>
      <c r="R55" s="19">
        <v>6</v>
      </c>
      <c r="S55" s="22">
        <f t="shared" si="2"/>
        <v>6.0600000000000005</v>
      </c>
      <c r="T55" s="28" t="s">
        <v>29</v>
      </c>
      <c r="U55" s="23"/>
      <c r="V55" s="23"/>
    </row>
    <row r="56" spans="1:22" ht="15" x14ac:dyDescent="0.2">
      <c r="A56" s="19"/>
      <c r="B56" s="19">
        <v>52</v>
      </c>
      <c r="C56" s="19" t="s">
        <v>253</v>
      </c>
      <c r="D56" s="19" t="s">
        <v>254</v>
      </c>
      <c r="E56" s="19"/>
      <c r="F56" s="20" t="s">
        <v>234</v>
      </c>
      <c r="G56" s="19"/>
      <c r="H56" s="19" t="s">
        <v>240</v>
      </c>
      <c r="I56" s="19">
        <v>1053091102</v>
      </c>
      <c r="J56" s="27">
        <v>1</v>
      </c>
      <c r="K56" s="19">
        <v>4</v>
      </c>
      <c r="L56" s="19">
        <f t="shared" si="0"/>
        <v>4</v>
      </c>
      <c r="M56" s="19" t="s">
        <v>27</v>
      </c>
      <c r="N56" s="21" t="s">
        <v>255</v>
      </c>
      <c r="O56" s="22">
        <v>0.71</v>
      </c>
      <c r="P56" s="22">
        <f t="shared" si="1"/>
        <v>2.84</v>
      </c>
      <c r="Q56" s="19">
        <v>10314</v>
      </c>
      <c r="R56" s="19">
        <v>6</v>
      </c>
      <c r="S56" s="22">
        <f t="shared" si="2"/>
        <v>4.26</v>
      </c>
      <c r="T56" s="28" t="s">
        <v>29</v>
      </c>
      <c r="U56" s="23"/>
      <c r="V56" s="23"/>
    </row>
    <row r="57" spans="1:22" ht="15" x14ac:dyDescent="0.2">
      <c r="A57" s="19"/>
      <c r="B57" s="19">
        <v>53</v>
      </c>
      <c r="C57" s="19" t="s">
        <v>256</v>
      </c>
      <c r="D57" s="19" t="s">
        <v>257</v>
      </c>
      <c r="E57" s="19"/>
      <c r="F57" s="20" t="s">
        <v>234</v>
      </c>
      <c r="G57" s="19"/>
      <c r="H57" s="19" t="s">
        <v>240</v>
      </c>
      <c r="I57" s="19">
        <v>1053091104</v>
      </c>
      <c r="J57" s="27">
        <v>1</v>
      </c>
      <c r="K57" s="19">
        <v>4</v>
      </c>
      <c r="L57" s="19">
        <f t="shared" si="0"/>
        <v>4</v>
      </c>
      <c r="M57" s="19" t="s">
        <v>27</v>
      </c>
      <c r="N57" s="21" t="s">
        <v>258</v>
      </c>
      <c r="O57" s="22">
        <v>1.1499999999999999</v>
      </c>
      <c r="P57" s="22">
        <f t="shared" si="1"/>
        <v>4.5999999999999996</v>
      </c>
      <c r="Q57" s="19">
        <v>12586</v>
      </c>
      <c r="R57" s="19">
        <v>6</v>
      </c>
      <c r="S57" s="22">
        <f t="shared" si="2"/>
        <v>6.8999999999999995</v>
      </c>
      <c r="T57" s="28" t="s">
        <v>29</v>
      </c>
      <c r="U57" s="23"/>
      <c r="V57" s="23"/>
    </row>
    <row r="58" spans="1:22" ht="15" x14ac:dyDescent="0.2">
      <c r="A58" s="19"/>
      <c r="B58" s="19">
        <v>54</v>
      </c>
      <c r="C58" s="19" t="s">
        <v>259</v>
      </c>
      <c r="D58" s="19" t="s">
        <v>260</v>
      </c>
      <c r="E58" s="19"/>
      <c r="F58" s="20" t="s">
        <v>234</v>
      </c>
      <c r="G58" s="19"/>
      <c r="H58" s="19" t="s">
        <v>240</v>
      </c>
      <c r="I58" s="19">
        <v>1722861102</v>
      </c>
      <c r="J58" s="27">
        <v>7</v>
      </c>
      <c r="K58" s="19">
        <v>4</v>
      </c>
      <c r="L58" s="19">
        <f t="shared" si="0"/>
        <v>28</v>
      </c>
      <c r="M58" s="19" t="s">
        <v>27</v>
      </c>
      <c r="N58" s="21" t="s">
        <v>261</v>
      </c>
      <c r="O58" s="22">
        <v>0.77</v>
      </c>
      <c r="P58" s="22">
        <f t="shared" si="1"/>
        <v>21.560000000000002</v>
      </c>
      <c r="Q58" s="19">
        <v>8471</v>
      </c>
      <c r="R58" s="19">
        <v>50</v>
      </c>
      <c r="S58" s="22">
        <f t="shared" si="2"/>
        <v>38.5</v>
      </c>
      <c r="T58" s="28" t="s">
        <v>29</v>
      </c>
      <c r="U58" s="23"/>
      <c r="V58" s="23"/>
    </row>
    <row r="59" spans="1:22" ht="15" x14ac:dyDescent="0.2">
      <c r="A59" s="19"/>
      <c r="B59" s="19">
        <v>55</v>
      </c>
      <c r="C59" s="19" t="s">
        <v>262</v>
      </c>
      <c r="D59" s="19" t="s">
        <v>263</v>
      </c>
      <c r="E59" s="19"/>
      <c r="F59" s="20" t="s">
        <v>234</v>
      </c>
      <c r="G59" s="19"/>
      <c r="H59" s="19" t="s">
        <v>240</v>
      </c>
      <c r="I59" s="19">
        <v>1053091105</v>
      </c>
      <c r="J59" s="27">
        <v>1</v>
      </c>
      <c r="K59" s="19">
        <v>4</v>
      </c>
      <c r="L59" s="19">
        <f t="shared" si="0"/>
        <v>4</v>
      </c>
      <c r="M59" s="19" t="s">
        <v>27</v>
      </c>
      <c r="N59" s="21" t="s">
        <v>264</v>
      </c>
      <c r="O59" s="22">
        <v>1.4</v>
      </c>
      <c r="P59" s="22">
        <f t="shared" si="1"/>
        <v>5.6</v>
      </c>
      <c r="Q59" s="19">
        <v>778</v>
      </c>
      <c r="R59" s="19">
        <v>6</v>
      </c>
      <c r="S59" s="22">
        <f t="shared" si="2"/>
        <v>8.3999999999999986</v>
      </c>
      <c r="T59" s="28" t="s">
        <v>29</v>
      </c>
      <c r="U59" s="23"/>
      <c r="V59" s="23"/>
    </row>
    <row r="60" spans="1:22" s="43" customFormat="1" ht="15" x14ac:dyDescent="0.2">
      <c r="B60" s="54">
        <v>56</v>
      </c>
      <c r="C60" s="55" t="s">
        <v>265</v>
      </c>
      <c r="D60" s="56"/>
      <c r="E60" s="56"/>
      <c r="F60" s="57"/>
      <c r="G60" s="56"/>
      <c r="H60" s="56"/>
      <c r="J60" s="37">
        <v>6</v>
      </c>
      <c r="K60" s="35">
        <v>4</v>
      </c>
      <c r="L60" s="35">
        <f t="shared" si="0"/>
        <v>24</v>
      </c>
      <c r="M60" s="56"/>
      <c r="N60" s="58"/>
      <c r="O60" s="59"/>
      <c r="P60" s="39">
        <f t="shared" si="1"/>
        <v>0</v>
      </c>
      <c r="Q60" s="56"/>
      <c r="R60" s="56"/>
      <c r="S60" s="39">
        <f t="shared" si="2"/>
        <v>0</v>
      </c>
      <c r="T60" s="60"/>
      <c r="U60" s="61" t="s">
        <v>330</v>
      </c>
      <c r="V60" s="61"/>
    </row>
    <row r="61" spans="1:22" ht="15" x14ac:dyDescent="0.2">
      <c r="A61" s="19"/>
      <c r="B61" s="19">
        <v>57</v>
      </c>
      <c r="C61" s="19" t="s">
        <v>266</v>
      </c>
      <c r="D61" s="19" t="s">
        <v>333</v>
      </c>
      <c r="E61" s="19"/>
      <c r="F61" s="20"/>
      <c r="G61" s="19"/>
      <c r="H61" s="19" t="s">
        <v>268</v>
      </c>
      <c r="I61" s="33" t="s">
        <v>332</v>
      </c>
      <c r="J61" s="27">
        <v>2</v>
      </c>
      <c r="K61" s="19">
        <v>4</v>
      </c>
      <c r="L61" s="19">
        <f t="shared" si="0"/>
        <v>8</v>
      </c>
      <c r="M61" s="19" t="s">
        <v>27</v>
      </c>
      <c r="N61" s="21" t="s">
        <v>270</v>
      </c>
      <c r="O61" s="22">
        <v>0.43</v>
      </c>
      <c r="P61" s="22">
        <f t="shared" si="1"/>
        <v>3.44</v>
      </c>
      <c r="Q61" s="19">
        <v>3639</v>
      </c>
      <c r="R61" s="19">
        <v>25</v>
      </c>
      <c r="S61" s="22">
        <f t="shared" si="2"/>
        <v>10.75</v>
      </c>
      <c r="T61" s="28" t="s">
        <v>29</v>
      </c>
      <c r="U61" s="23"/>
      <c r="V61" s="23"/>
    </row>
    <row r="62" spans="1:22" ht="15" x14ac:dyDescent="0.2">
      <c r="A62" s="19"/>
      <c r="B62" s="19">
        <v>58</v>
      </c>
      <c r="C62" s="19" t="s">
        <v>271</v>
      </c>
      <c r="D62" s="19" t="s">
        <v>272</v>
      </c>
      <c r="E62" s="19"/>
      <c r="F62" s="20" t="s">
        <v>273</v>
      </c>
      <c r="G62" s="19"/>
      <c r="H62" s="19" t="s">
        <v>274</v>
      </c>
      <c r="I62" s="19" t="s">
        <v>275</v>
      </c>
      <c r="J62" s="27">
        <v>4</v>
      </c>
      <c r="K62" s="19">
        <v>4</v>
      </c>
      <c r="L62" s="19">
        <f t="shared" si="0"/>
        <v>16</v>
      </c>
      <c r="M62" s="19" t="s">
        <v>27</v>
      </c>
      <c r="N62" s="21" t="s">
        <v>276</v>
      </c>
      <c r="O62" s="22">
        <v>0.56999999999999995</v>
      </c>
      <c r="P62" s="22">
        <f t="shared" si="1"/>
        <v>9.1199999999999992</v>
      </c>
      <c r="Q62" s="19">
        <v>66</v>
      </c>
      <c r="R62" s="19">
        <v>25</v>
      </c>
      <c r="S62" s="22">
        <f t="shared" si="2"/>
        <v>14.249999999999998</v>
      </c>
      <c r="T62" s="28" t="s">
        <v>29</v>
      </c>
      <c r="U62" s="23"/>
      <c r="V62" s="23"/>
    </row>
    <row r="63" spans="1:22" ht="15" x14ac:dyDescent="0.2">
      <c r="A63" s="19"/>
      <c r="B63" s="19">
        <v>59</v>
      </c>
      <c r="C63" s="19" t="s">
        <v>277</v>
      </c>
      <c r="D63" s="19" t="s">
        <v>267</v>
      </c>
      <c r="E63" s="19"/>
      <c r="F63" s="20"/>
      <c r="G63" s="19"/>
      <c r="H63" s="19" t="s">
        <v>268</v>
      </c>
      <c r="I63" s="19" t="s">
        <v>269</v>
      </c>
      <c r="J63" s="27">
        <v>5</v>
      </c>
      <c r="K63" s="19">
        <v>4</v>
      </c>
      <c r="L63" s="19">
        <f t="shared" si="0"/>
        <v>20</v>
      </c>
      <c r="M63" s="19" t="s">
        <v>27</v>
      </c>
      <c r="N63" s="21" t="s">
        <v>270</v>
      </c>
      <c r="O63" s="22">
        <v>0.43</v>
      </c>
      <c r="P63" s="22">
        <f t="shared" si="1"/>
        <v>8.6</v>
      </c>
      <c r="Q63" s="19">
        <v>3639</v>
      </c>
      <c r="R63" s="19">
        <v>50</v>
      </c>
      <c r="S63" s="22">
        <f t="shared" si="2"/>
        <v>21.5</v>
      </c>
      <c r="T63" s="28" t="s">
        <v>29</v>
      </c>
      <c r="U63" s="23"/>
      <c r="V63" s="23"/>
    </row>
    <row r="64" spans="1:22" ht="15" x14ac:dyDescent="0.2">
      <c r="A64" s="19"/>
      <c r="B64" s="19">
        <v>60</v>
      </c>
      <c r="C64" s="19" t="s">
        <v>278</v>
      </c>
      <c r="D64" s="19" t="s">
        <v>279</v>
      </c>
      <c r="E64" s="19"/>
      <c r="F64" s="20" t="s">
        <v>202</v>
      </c>
      <c r="G64" s="19"/>
      <c r="H64" s="19" t="s">
        <v>280</v>
      </c>
      <c r="I64" s="19" t="s">
        <v>281</v>
      </c>
      <c r="J64" s="27">
        <v>2</v>
      </c>
      <c r="K64" s="19">
        <v>4</v>
      </c>
      <c r="L64" s="19">
        <f t="shared" si="0"/>
        <v>8</v>
      </c>
      <c r="M64" s="19" t="s">
        <v>27</v>
      </c>
      <c r="N64" s="21" t="s">
        <v>282</v>
      </c>
      <c r="O64" s="22">
        <v>0.32</v>
      </c>
      <c r="P64" s="22">
        <f t="shared" si="1"/>
        <v>2.56</v>
      </c>
      <c r="Q64" s="19">
        <v>52749</v>
      </c>
      <c r="R64" s="19">
        <v>250</v>
      </c>
      <c r="S64" s="22">
        <f t="shared" si="2"/>
        <v>80</v>
      </c>
      <c r="T64" s="28" t="s">
        <v>29</v>
      </c>
      <c r="U64" s="23"/>
      <c r="V64" s="23"/>
    </row>
    <row r="65" spans="1:22" s="43" customFormat="1" ht="15" x14ac:dyDescent="0.2">
      <c r="A65" s="35"/>
      <c r="B65" s="35">
        <v>61</v>
      </c>
      <c r="C65" s="35" t="s">
        <v>283</v>
      </c>
      <c r="D65" s="35" t="s">
        <v>284</v>
      </c>
      <c r="E65" s="35"/>
      <c r="F65" s="36" t="s">
        <v>202</v>
      </c>
      <c r="G65" s="35"/>
      <c r="H65" s="35" t="s">
        <v>285</v>
      </c>
      <c r="I65" s="35" t="s">
        <v>286</v>
      </c>
      <c r="J65" s="37">
        <v>16</v>
      </c>
      <c r="K65" s="35">
        <v>4</v>
      </c>
      <c r="L65" s="35">
        <f t="shared" si="0"/>
        <v>64</v>
      </c>
      <c r="M65" s="35" t="s">
        <v>27</v>
      </c>
      <c r="N65" s="38" t="s">
        <v>287</v>
      </c>
      <c r="O65" s="39">
        <v>0.08</v>
      </c>
      <c r="P65" s="39">
        <f t="shared" si="1"/>
        <v>5.12</v>
      </c>
      <c r="Q65" s="35">
        <v>1967436</v>
      </c>
      <c r="R65" s="35"/>
      <c r="S65" s="39">
        <f t="shared" si="2"/>
        <v>0</v>
      </c>
      <c r="T65" s="40" t="s">
        <v>29</v>
      </c>
      <c r="U65" s="41" t="s">
        <v>330</v>
      </c>
      <c r="V65" s="42"/>
    </row>
    <row r="66" spans="1:22" ht="15" x14ac:dyDescent="0.2">
      <c r="A66" s="19"/>
      <c r="B66" s="19">
        <v>62</v>
      </c>
      <c r="C66" s="19" t="s">
        <v>288</v>
      </c>
      <c r="D66" s="19" t="s">
        <v>289</v>
      </c>
      <c r="E66" s="19"/>
      <c r="F66" s="20" t="s">
        <v>202</v>
      </c>
      <c r="G66" s="19"/>
      <c r="H66" s="19" t="s">
        <v>290</v>
      </c>
      <c r="I66" s="19" t="s">
        <v>291</v>
      </c>
      <c r="J66" s="27">
        <v>8</v>
      </c>
      <c r="K66" s="19">
        <v>4</v>
      </c>
      <c r="L66" s="19">
        <f t="shared" si="0"/>
        <v>32</v>
      </c>
      <c r="M66" s="19" t="s">
        <v>27</v>
      </c>
      <c r="N66" s="21" t="s">
        <v>292</v>
      </c>
      <c r="O66" s="22">
        <v>4.3899999999999997</v>
      </c>
      <c r="P66" s="22">
        <f t="shared" si="1"/>
        <v>140.47999999999999</v>
      </c>
      <c r="Q66" s="19">
        <v>8211</v>
      </c>
      <c r="R66" s="19">
        <v>50</v>
      </c>
      <c r="S66" s="22">
        <f t="shared" si="2"/>
        <v>219.49999999999997</v>
      </c>
      <c r="T66" s="28" t="s">
        <v>29</v>
      </c>
      <c r="U66" s="23"/>
      <c r="V66" s="23"/>
    </row>
    <row r="67" spans="1:22" ht="15" x14ac:dyDescent="0.2">
      <c r="A67" s="19"/>
      <c r="B67" s="19">
        <v>63</v>
      </c>
      <c r="C67" s="19" t="s">
        <v>293</v>
      </c>
      <c r="D67" s="29" t="s">
        <v>294</v>
      </c>
      <c r="E67" s="19"/>
      <c r="F67" s="20" t="s">
        <v>202</v>
      </c>
      <c r="G67" s="19"/>
      <c r="H67" s="19" t="s">
        <v>295</v>
      </c>
      <c r="I67" s="19" t="s">
        <v>296</v>
      </c>
      <c r="J67" s="27">
        <v>4</v>
      </c>
      <c r="K67" s="19">
        <v>4</v>
      </c>
      <c r="L67" s="19">
        <f t="shared" si="0"/>
        <v>16</v>
      </c>
      <c r="M67" s="19" t="s">
        <v>27</v>
      </c>
      <c r="N67" s="21" t="s">
        <v>297</v>
      </c>
      <c r="O67" s="22">
        <v>0.12</v>
      </c>
      <c r="P67" s="22">
        <f t="shared" si="1"/>
        <v>1.92</v>
      </c>
      <c r="Q67" s="19">
        <v>1573586</v>
      </c>
      <c r="R67" s="19">
        <v>250</v>
      </c>
      <c r="S67" s="22">
        <f t="shared" si="2"/>
        <v>30</v>
      </c>
      <c r="T67" s="28" t="s">
        <v>29</v>
      </c>
      <c r="U67" s="23"/>
      <c r="V67" s="23"/>
    </row>
    <row r="68" spans="1:22" ht="15" x14ac:dyDescent="0.2">
      <c r="A68" s="19"/>
      <c r="B68" s="19">
        <v>64</v>
      </c>
      <c r="C68" s="19" t="s">
        <v>298</v>
      </c>
      <c r="D68" s="19" t="s">
        <v>299</v>
      </c>
      <c r="E68" s="19"/>
      <c r="F68" s="19" t="s">
        <v>300</v>
      </c>
      <c r="G68" s="19"/>
      <c r="H68" s="19" t="s">
        <v>215</v>
      </c>
      <c r="I68" s="19" t="s">
        <v>301</v>
      </c>
      <c r="J68" s="27">
        <v>3</v>
      </c>
      <c r="K68" s="19">
        <v>4</v>
      </c>
      <c r="L68" s="19">
        <f t="shared" si="0"/>
        <v>12</v>
      </c>
      <c r="M68" s="19" t="s">
        <v>27</v>
      </c>
      <c r="N68" s="21" t="s">
        <v>302</v>
      </c>
      <c r="O68" s="22">
        <v>0.53</v>
      </c>
      <c r="P68" s="22">
        <f t="shared" si="1"/>
        <v>6.36</v>
      </c>
      <c r="Q68" s="19">
        <v>1371228</v>
      </c>
      <c r="R68" s="19">
        <v>100</v>
      </c>
      <c r="S68" s="22">
        <f t="shared" si="2"/>
        <v>53</v>
      </c>
      <c r="T68" s="28" t="s">
        <v>29</v>
      </c>
      <c r="U68" s="19"/>
      <c r="V68" s="23"/>
    </row>
    <row r="69" spans="1:22" ht="15" x14ac:dyDescent="0.2">
      <c r="A69" s="19"/>
      <c r="B69" s="19">
        <v>65</v>
      </c>
      <c r="C69" s="19" t="s">
        <v>303</v>
      </c>
      <c r="D69" s="19" t="s">
        <v>304</v>
      </c>
      <c r="E69" s="19"/>
      <c r="F69" s="19" t="s">
        <v>202</v>
      </c>
      <c r="G69" s="19"/>
      <c r="H69" s="19" t="s">
        <v>280</v>
      </c>
      <c r="I69" s="19" t="s">
        <v>305</v>
      </c>
      <c r="J69" s="27">
        <v>1</v>
      </c>
      <c r="K69" s="19">
        <v>4</v>
      </c>
      <c r="L69" s="19">
        <f t="shared" si="0"/>
        <v>4</v>
      </c>
      <c r="M69" s="19" t="s">
        <v>27</v>
      </c>
      <c r="N69" s="21" t="s">
        <v>306</v>
      </c>
      <c r="O69" s="22">
        <v>0.08</v>
      </c>
      <c r="P69" s="22">
        <f t="shared" si="1"/>
        <v>0.32</v>
      </c>
      <c r="Q69" s="19">
        <v>454948</v>
      </c>
      <c r="R69" s="19">
        <v>250</v>
      </c>
      <c r="S69" s="22">
        <f t="shared" si="2"/>
        <v>20</v>
      </c>
      <c r="T69" s="28" t="s">
        <v>29</v>
      </c>
      <c r="U69" s="19"/>
      <c r="V69" s="23"/>
    </row>
    <row r="70" spans="1:22" ht="15" x14ac:dyDescent="0.2">
      <c r="A70" s="19"/>
      <c r="B70" s="19">
        <v>66</v>
      </c>
      <c r="C70" s="19" t="s">
        <v>307</v>
      </c>
      <c r="D70" s="19" t="s">
        <v>308</v>
      </c>
      <c r="E70" s="19"/>
      <c r="F70" s="19" t="s">
        <v>300</v>
      </c>
      <c r="G70" s="19"/>
      <c r="H70" s="19" t="s">
        <v>215</v>
      </c>
      <c r="I70" s="19" t="s">
        <v>309</v>
      </c>
      <c r="J70" s="27">
        <v>44</v>
      </c>
      <c r="K70" s="19">
        <v>4</v>
      </c>
      <c r="L70" s="19">
        <f t="shared" ref="L70:L74" si="3">J70*K70</f>
        <v>176</v>
      </c>
      <c r="M70" s="19" t="s">
        <v>27</v>
      </c>
      <c r="N70" s="21" t="s">
        <v>310</v>
      </c>
      <c r="O70" s="22">
        <v>0.3</v>
      </c>
      <c r="P70" s="22">
        <f t="shared" ref="P70:P74" si="4">L70*O70</f>
        <v>52.8</v>
      </c>
      <c r="Q70" s="19">
        <v>1051449</v>
      </c>
      <c r="R70" s="19">
        <v>500</v>
      </c>
      <c r="S70" s="22">
        <f t="shared" ref="S70:S74" si="5">R70*O70</f>
        <v>150</v>
      </c>
      <c r="T70" s="28" t="s">
        <v>29</v>
      </c>
      <c r="U70" s="19"/>
      <c r="V70" s="23"/>
    </row>
    <row r="71" spans="1:22" ht="13.5" customHeight="1" x14ac:dyDescent="0.2">
      <c r="A71" s="19"/>
      <c r="B71" s="19">
        <v>67</v>
      </c>
      <c r="C71" s="19" t="s">
        <v>311</v>
      </c>
      <c r="D71" s="19" t="s">
        <v>312</v>
      </c>
      <c r="E71" s="19"/>
      <c r="F71" s="19" t="s">
        <v>313</v>
      </c>
      <c r="G71" s="19"/>
      <c r="H71" s="19" t="s">
        <v>314</v>
      </c>
      <c r="I71" s="19" t="s">
        <v>315</v>
      </c>
      <c r="J71" s="27">
        <v>1</v>
      </c>
      <c r="K71" s="19">
        <v>4</v>
      </c>
      <c r="L71" s="19">
        <f t="shared" si="3"/>
        <v>4</v>
      </c>
      <c r="M71" s="19" t="s">
        <v>27</v>
      </c>
      <c r="N71" s="21" t="s">
        <v>316</v>
      </c>
      <c r="O71" s="22">
        <v>0.55000000000000004</v>
      </c>
      <c r="P71" s="22">
        <f t="shared" si="4"/>
        <v>2.2000000000000002</v>
      </c>
      <c r="Q71" s="19">
        <v>92915</v>
      </c>
      <c r="R71" s="19">
        <v>6</v>
      </c>
      <c r="S71" s="22">
        <f t="shared" si="5"/>
        <v>3.3000000000000003</v>
      </c>
      <c r="T71" s="28" t="s">
        <v>29</v>
      </c>
      <c r="U71" s="19"/>
      <c r="V71" s="23"/>
    </row>
    <row r="72" spans="1:22" ht="11.25" customHeight="1" x14ac:dyDescent="0.2">
      <c r="A72" s="19"/>
      <c r="B72" s="19">
        <v>68</v>
      </c>
      <c r="C72" s="19" t="s">
        <v>317</v>
      </c>
      <c r="D72" s="19" t="s">
        <v>318</v>
      </c>
      <c r="E72" s="19"/>
      <c r="F72" s="19" t="s">
        <v>202</v>
      </c>
      <c r="G72" s="19"/>
      <c r="H72" s="19" t="s">
        <v>215</v>
      </c>
      <c r="I72" s="19" t="s">
        <v>319</v>
      </c>
      <c r="J72" s="27">
        <v>1</v>
      </c>
      <c r="K72" s="19">
        <v>4</v>
      </c>
      <c r="L72" s="19">
        <f t="shared" si="3"/>
        <v>4</v>
      </c>
      <c r="M72" s="19" t="s">
        <v>27</v>
      </c>
      <c r="N72" s="21" t="s">
        <v>320</v>
      </c>
      <c r="O72" s="22">
        <v>0.21</v>
      </c>
      <c r="P72" s="22">
        <f t="shared" si="4"/>
        <v>0.84</v>
      </c>
      <c r="Q72" s="19">
        <v>235830</v>
      </c>
      <c r="R72" s="19">
        <v>100</v>
      </c>
      <c r="S72" s="22">
        <f t="shared" si="5"/>
        <v>21</v>
      </c>
      <c r="T72" s="28" t="s">
        <v>29</v>
      </c>
      <c r="U72" s="19"/>
      <c r="V72" s="23"/>
    </row>
    <row r="73" spans="1:22" ht="15" x14ac:dyDescent="0.2">
      <c r="A73" s="19"/>
      <c r="B73" s="19">
        <v>69</v>
      </c>
      <c r="C73" s="19" t="s">
        <v>321</v>
      </c>
      <c r="D73" s="19" t="s">
        <v>284</v>
      </c>
      <c r="E73" s="19"/>
      <c r="F73" s="23" t="s">
        <v>202</v>
      </c>
      <c r="G73" s="19"/>
      <c r="H73" s="19" t="s">
        <v>285</v>
      </c>
      <c r="I73" s="19" t="s">
        <v>286</v>
      </c>
      <c r="J73" s="27">
        <v>48</v>
      </c>
      <c r="K73" s="19">
        <v>4</v>
      </c>
      <c r="L73" s="19">
        <f t="shared" si="3"/>
        <v>192</v>
      </c>
      <c r="M73" s="19" t="s">
        <v>27</v>
      </c>
      <c r="N73" s="21" t="s">
        <v>287</v>
      </c>
      <c r="O73" s="22">
        <v>0.08</v>
      </c>
      <c r="P73" s="22">
        <f t="shared" si="4"/>
        <v>15.36</v>
      </c>
      <c r="Q73" s="19">
        <v>1967436</v>
      </c>
      <c r="R73" s="19">
        <v>1000</v>
      </c>
      <c r="S73" s="22">
        <f t="shared" si="5"/>
        <v>80</v>
      </c>
      <c r="T73" s="28" t="s">
        <v>29</v>
      </c>
      <c r="U73" s="23"/>
      <c r="V73" s="23"/>
    </row>
    <row r="74" spans="1:22" ht="15" x14ac:dyDescent="0.2">
      <c r="A74" s="19"/>
      <c r="B74" s="19">
        <v>70</v>
      </c>
      <c r="C74" s="19" t="s">
        <v>322</v>
      </c>
      <c r="D74" s="19" t="s">
        <v>323</v>
      </c>
      <c r="E74" s="19"/>
      <c r="F74" s="23" t="s">
        <v>202</v>
      </c>
      <c r="G74" s="19"/>
      <c r="H74" s="19" t="s">
        <v>285</v>
      </c>
      <c r="I74" s="19" t="s">
        <v>324</v>
      </c>
      <c r="J74" s="27">
        <v>3</v>
      </c>
      <c r="K74" s="19">
        <v>4</v>
      </c>
      <c r="L74" s="19">
        <f t="shared" si="3"/>
        <v>12</v>
      </c>
      <c r="M74" s="19" t="s">
        <v>27</v>
      </c>
      <c r="N74" s="21" t="s">
        <v>325</v>
      </c>
      <c r="O74" s="22">
        <v>0.1</v>
      </c>
      <c r="P74" s="22">
        <f t="shared" si="4"/>
        <v>1.2000000000000002</v>
      </c>
      <c r="Q74" s="19">
        <v>656657</v>
      </c>
      <c r="R74" s="19">
        <v>100</v>
      </c>
      <c r="S74" s="22">
        <f t="shared" si="5"/>
        <v>10</v>
      </c>
      <c r="T74" s="28" t="s">
        <v>29</v>
      </c>
      <c r="U74" s="23"/>
      <c r="V74" s="23"/>
    </row>
    <row r="75" spans="1:22" x14ac:dyDescent="0.2">
      <c r="B75" s="13">
        <v>71</v>
      </c>
      <c r="D75" s="2"/>
      <c r="E75" s="2"/>
      <c r="F75" s="7"/>
      <c r="G75" s="2"/>
      <c r="H75" s="2"/>
      <c r="J75" s="18"/>
      <c r="K75" s="2"/>
      <c r="L75" s="2"/>
      <c r="M75" s="2"/>
      <c r="N75" s="17"/>
      <c r="O75" s="15"/>
      <c r="P75" s="15"/>
      <c r="Q75" s="2"/>
      <c r="R75" s="2"/>
      <c r="S75" s="2"/>
      <c r="T75" s="16"/>
      <c r="U75" s="7"/>
      <c r="V75" s="7"/>
    </row>
    <row r="76" spans="1:22" x14ac:dyDescent="0.2">
      <c r="B76" s="13">
        <v>72</v>
      </c>
      <c r="D76" s="12"/>
      <c r="E76" s="2"/>
      <c r="F76" s="2"/>
      <c r="G76" s="2"/>
      <c r="H76" s="2"/>
      <c r="J76" s="2"/>
      <c r="K76" s="2"/>
      <c r="L76" s="2"/>
      <c r="M76" s="2"/>
      <c r="N76" s="17"/>
      <c r="O76" s="4"/>
      <c r="P76" s="15"/>
      <c r="Q76" s="2"/>
      <c r="R76" s="2"/>
      <c r="S76" s="2"/>
      <c r="T76" s="16"/>
      <c r="U76" s="2"/>
      <c r="V76" s="2"/>
    </row>
    <row r="77" spans="1:22" x14ac:dyDescent="0.2">
      <c r="B77" s="13">
        <v>73</v>
      </c>
      <c r="D77" s="18"/>
      <c r="E77" s="2"/>
      <c r="F77" s="10"/>
      <c r="G77" s="2"/>
      <c r="H77" s="2"/>
      <c r="J77" s="2"/>
      <c r="K77" s="2"/>
      <c r="L77" s="2"/>
      <c r="M77" s="2"/>
      <c r="N77" s="17"/>
      <c r="O77" s="4"/>
      <c r="P77" s="4"/>
      <c r="Q77" s="2"/>
      <c r="R77" s="2"/>
      <c r="S77" s="2"/>
      <c r="T77" s="16"/>
      <c r="U77" s="2"/>
      <c r="V77" s="2"/>
    </row>
    <row r="78" spans="1:22" ht="12" customHeight="1" x14ac:dyDescent="0.2">
      <c r="B78" s="13">
        <v>74</v>
      </c>
      <c r="D78" s="12"/>
      <c r="E78" s="2"/>
      <c r="F78" s="2"/>
      <c r="G78" s="2"/>
      <c r="H78" s="2"/>
      <c r="J78" s="2"/>
      <c r="K78" s="2"/>
      <c r="L78" s="2"/>
      <c r="M78" s="2"/>
      <c r="N78" s="17"/>
      <c r="O78" s="4"/>
      <c r="P78" s="4"/>
      <c r="Q78" s="2"/>
      <c r="R78" s="2"/>
      <c r="S78" s="2"/>
      <c r="T78" s="16"/>
      <c r="U78" s="2"/>
      <c r="V78" s="2"/>
    </row>
    <row r="79" spans="1:22" ht="12" customHeight="1" x14ac:dyDescent="0.2">
      <c r="B79" s="13">
        <v>75</v>
      </c>
      <c r="D79" s="12"/>
      <c r="E79" s="2"/>
      <c r="F79" s="2"/>
      <c r="G79" s="2"/>
      <c r="H79" s="2"/>
      <c r="J79" s="2"/>
      <c r="K79" s="2"/>
      <c r="L79" s="2"/>
      <c r="M79" s="2"/>
      <c r="N79" s="17"/>
      <c r="O79" s="4"/>
      <c r="P79" s="4"/>
      <c r="Q79" s="2"/>
      <c r="R79" s="2"/>
      <c r="S79" s="2"/>
      <c r="T79" s="16"/>
      <c r="U79" s="2"/>
      <c r="V79" s="2"/>
    </row>
    <row r="80" spans="1:22" ht="12" customHeight="1" x14ac:dyDescent="0.2">
      <c r="B80" s="13">
        <v>76</v>
      </c>
      <c r="D80" s="12"/>
      <c r="E80" s="2"/>
      <c r="F80" s="10"/>
      <c r="G80" s="2"/>
      <c r="H80" s="2"/>
      <c r="J80" s="2"/>
      <c r="K80" s="2"/>
      <c r="L80" s="2"/>
      <c r="M80" s="2"/>
      <c r="N80" s="17"/>
      <c r="O80" s="4"/>
      <c r="P80" s="4"/>
      <c r="Q80" s="2"/>
      <c r="R80" s="2"/>
      <c r="S80" s="2"/>
      <c r="T80" s="16"/>
      <c r="U80" s="2"/>
      <c r="V80" s="2"/>
    </row>
    <row r="81" spans="2:22" ht="12" customHeight="1" x14ac:dyDescent="0.2">
      <c r="B81" s="13">
        <v>77</v>
      </c>
      <c r="D81" s="12"/>
      <c r="E81" s="2"/>
      <c r="F81" s="10"/>
      <c r="G81" s="2"/>
      <c r="H81" s="2"/>
      <c r="J81" s="2"/>
      <c r="K81" s="2"/>
      <c r="L81" s="2"/>
      <c r="M81" s="2"/>
      <c r="N81" s="17"/>
      <c r="O81" s="4"/>
      <c r="P81" s="4"/>
      <c r="Q81" s="2"/>
      <c r="R81" s="2"/>
      <c r="S81" s="2"/>
      <c r="T81" s="16"/>
      <c r="U81" s="18"/>
      <c r="V81" s="2"/>
    </row>
    <row r="82" spans="2:22" ht="12" customHeight="1" x14ac:dyDescent="0.2">
      <c r="B82" s="13">
        <v>78</v>
      </c>
      <c r="D82" s="12"/>
      <c r="E82" s="2"/>
      <c r="F82" s="10"/>
      <c r="G82" s="2"/>
      <c r="H82" s="2"/>
      <c r="J82" s="2"/>
      <c r="K82" s="2"/>
      <c r="L82" s="2"/>
      <c r="M82" s="2"/>
      <c r="N82" s="17"/>
      <c r="O82" s="4"/>
      <c r="P82" s="4"/>
      <c r="Q82" s="2"/>
      <c r="R82" s="2"/>
      <c r="S82" s="2"/>
      <c r="T82" s="16"/>
      <c r="U82" s="31"/>
      <c r="V82" s="2"/>
    </row>
    <row r="83" spans="2:22" ht="12" customHeight="1" x14ac:dyDescent="0.2">
      <c r="B83" s="13">
        <v>79</v>
      </c>
      <c r="D83" s="12"/>
      <c r="E83" s="2"/>
      <c r="F83" s="10"/>
      <c r="G83" s="2"/>
      <c r="H83" s="2"/>
      <c r="J83" s="2"/>
      <c r="K83" s="2"/>
      <c r="L83" s="2"/>
      <c r="M83" s="2"/>
      <c r="N83" s="17"/>
      <c r="O83" s="4"/>
      <c r="P83" s="4"/>
      <c r="Q83" s="2"/>
      <c r="R83" s="2"/>
      <c r="S83" s="2"/>
      <c r="T83" s="16"/>
      <c r="U83" s="18"/>
      <c r="V83" s="2"/>
    </row>
    <row r="84" spans="2:22" x14ac:dyDescent="0.2">
      <c r="B84" s="13">
        <v>80</v>
      </c>
      <c r="D84" s="11"/>
      <c r="E84" s="2"/>
      <c r="F84" s="2"/>
      <c r="J84" s="2"/>
      <c r="K84" s="2"/>
      <c r="L84" s="2"/>
      <c r="M84" s="2"/>
      <c r="N84" s="2"/>
      <c r="O84" s="4"/>
      <c r="P84" s="4"/>
      <c r="Q84" s="2"/>
      <c r="R84" s="2"/>
      <c r="S84" s="2"/>
      <c r="T84" s="16"/>
    </row>
    <row r="85" spans="2:22" x14ac:dyDescent="0.2">
      <c r="B85" s="13">
        <v>81</v>
      </c>
      <c r="D85" s="2"/>
      <c r="E85" s="2"/>
      <c r="F85" s="10"/>
      <c r="H85" s="2"/>
      <c r="K85" s="2"/>
      <c r="L85" s="2"/>
      <c r="M85" s="2"/>
      <c r="N85" s="6"/>
      <c r="O85" s="5"/>
      <c r="P85" s="4"/>
      <c r="Q85" s="2"/>
      <c r="R85" s="2"/>
      <c r="S85" s="2"/>
      <c r="T85" s="16"/>
      <c r="U85" s="7"/>
      <c r="V85" s="9"/>
    </row>
    <row r="86" spans="2:22" x14ac:dyDescent="0.2">
      <c r="B86" s="13">
        <v>82</v>
      </c>
      <c r="D86" s="2"/>
      <c r="E86" s="2"/>
      <c r="F86" s="10"/>
      <c r="H86" s="2"/>
      <c r="K86" s="2"/>
      <c r="L86" s="2"/>
      <c r="M86" s="2"/>
      <c r="N86" s="6"/>
      <c r="O86" s="5"/>
      <c r="P86" s="4"/>
      <c r="Q86" s="2"/>
      <c r="R86" s="2"/>
      <c r="S86" s="2"/>
      <c r="T86" s="16"/>
      <c r="U86" s="7"/>
      <c r="V86" s="7"/>
    </row>
    <row r="87" spans="2:22" x14ac:dyDescent="0.2">
      <c r="B87" s="13">
        <v>83</v>
      </c>
      <c r="D87" s="2"/>
      <c r="E87" s="2"/>
      <c r="F87" s="10"/>
      <c r="H87" s="2"/>
      <c r="K87" s="2"/>
      <c r="L87" s="2"/>
      <c r="M87" s="2"/>
      <c r="N87" s="6"/>
      <c r="O87" s="5"/>
      <c r="P87" s="5"/>
      <c r="Q87" s="2"/>
      <c r="R87" s="2"/>
      <c r="S87" s="2"/>
      <c r="T87" s="16"/>
      <c r="U87" s="7"/>
      <c r="V87" s="7"/>
    </row>
    <row r="88" spans="2:22" x14ac:dyDescent="0.2">
      <c r="B88" s="13">
        <v>84</v>
      </c>
      <c r="D88" s="18"/>
      <c r="E88" s="2"/>
      <c r="F88" s="10"/>
      <c r="H88" s="2"/>
      <c r="K88" s="2"/>
      <c r="L88" s="2"/>
      <c r="M88" s="2"/>
      <c r="N88" s="6"/>
      <c r="O88" s="5"/>
      <c r="P88" s="5"/>
      <c r="Q88" s="2"/>
      <c r="R88" s="2"/>
      <c r="S88" s="2"/>
      <c r="T88" s="16"/>
      <c r="U88" s="7"/>
      <c r="V88" s="7"/>
    </row>
    <row r="89" spans="2:22" x14ac:dyDescent="0.2">
      <c r="B89" s="13">
        <v>85</v>
      </c>
      <c r="D89" s="2"/>
      <c r="E89" s="2"/>
      <c r="F89" s="10"/>
      <c r="H89" s="2"/>
      <c r="K89" s="2"/>
      <c r="L89" s="2"/>
      <c r="M89" s="2"/>
      <c r="N89" s="6"/>
      <c r="O89" s="5"/>
      <c r="P89" s="5"/>
      <c r="Q89" s="2"/>
      <c r="R89" s="2"/>
      <c r="S89" s="2"/>
      <c r="T89" s="16"/>
      <c r="U89" s="7"/>
      <c r="V89" s="7"/>
    </row>
    <row r="90" spans="2:22" x14ac:dyDescent="0.2">
      <c r="B90" s="13">
        <v>86</v>
      </c>
      <c r="D90" s="2"/>
      <c r="E90" s="2"/>
      <c r="F90" s="10"/>
      <c r="H90" s="2"/>
      <c r="K90" s="2"/>
      <c r="L90" s="2"/>
      <c r="M90" s="2"/>
      <c r="N90" s="6"/>
      <c r="O90" s="5"/>
      <c r="P90" s="5"/>
      <c r="Q90" s="2"/>
      <c r="R90" s="2"/>
      <c r="S90" s="2"/>
      <c r="T90" s="16"/>
      <c r="U90" s="7"/>
      <c r="V90" s="7"/>
    </row>
    <row r="91" spans="2:22" x14ac:dyDescent="0.2">
      <c r="B91" s="13">
        <v>87</v>
      </c>
      <c r="D91" s="2"/>
      <c r="E91" s="2"/>
      <c r="F91" s="10"/>
      <c r="H91" s="2"/>
      <c r="K91" s="2"/>
      <c r="L91" s="2"/>
      <c r="M91" s="2"/>
      <c r="N91" s="6"/>
      <c r="O91" s="5"/>
      <c r="P91" s="5"/>
      <c r="Q91" s="2"/>
      <c r="R91" s="2"/>
      <c r="S91" s="2"/>
      <c r="T91" s="16"/>
      <c r="U91" s="7"/>
      <c r="V91" s="7"/>
    </row>
    <row r="92" spans="2:22" x14ac:dyDescent="0.2">
      <c r="B92" s="13">
        <v>88</v>
      </c>
      <c r="D92" s="2"/>
      <c r="E92" s="2"/>
      <c r="F92" s="10"/>
      <c r="H92" s="2"/>
      <c r="K92" s="2"/>
      <c r="L92" s="2"/>
      <c r="M92" s="2"/>
      <c r="N92" s="6"/>
      <c r="O92" s="5"/>
      <c r="P92" s="5"/>
      <c r="Q92" s="2"/>
      <c r="R92" s="2"/>
      <c r="S92" s="2"/>
      <c r="T92" s="16"/>
      <c r="U92" s="7"/>
      <c r="V92" s="7"/>
    </row>
    <row r="93" spans="2:22" x14ac:dyDescent="0.2">
      <c r="B93" s="13">
        <v>89</v>
      </c>
      <c r="D93" s="2"/>
      <c r="E93" s="2"/>
      <c r="F93" s="10"/>
      <c r="H93" s="2"/>
      <c r="K93" s="2"/>
      <c r="L93" s="2"/>
      <c r="M93" s="2"/>
      <c r="N93" s="6"/>
      <c r="O93" s="5"/>
      <c r="P93" s="5"/>
      <c r="Q93" s="2"/>
      <c r="R93" s="2"/>
      <c r="S93" s="2"/>
      <c r="T93" s="16"/>
      <c r="U93" s="7"/>
      <c r="V93" s="7"/>
    </row>
    <row r="94" spans="2:22" x14ac:dyDescent="0.2">
      <c r="B94" s="13">
        <v>90</v>
      </c>
      <c r="D94" s="2"/>
      <c r="E94" s="2"/>
      <c r="F94" s="10"/>
      <c r="H94" s="2"/>
      <c r="K94" s="2"/>
      <c r="L94" s="2"/>
      <c r="M94" s="2"/>
      <c r="N94" s="6"/>
      <c r="O94" s="5"/>
      <c r="P94" s="5"/>
      <c r="Q94" s="2"/>
      <c r="R94" s="2"/>
      <c r="S94" s="2"/>
      <c r="T94" s="16"/>
      <c r="U94" s="7"/>
      <c r="V94" s="7"/>
    </row>
    <row r="95" spans="2:22" x14ac:dyDescent="0.2">
      <c r="B95" s="13">
        <v>91</v>
      </c>
      <c r="D95" s="2"/>
      <c r="E95" s="2"/>
      <c r="F95" s="10"/>
      <c r="H95" s="2"/>
      <c r="K95" s="2"/>
      <c r="L95" s="2"/>
      <c r="M95" s="2"/>
      <c r="N95" s="6"/>
      <c r="O95" s="5"/>
      <c r="P95" s="5"/>
      <c r="Q95" s="2"/>
      <c r="R95" s="2"/>
      <c r="S95" s="2"/>
      <c r="T95" s="16"/>
      <c r="U95" s="7"/>
      <c r="V95" s="7"/>
    </row>
    <row r="96" spans="2:22" x14ac:dyDescent="0.2">
      <c r="B96" s="13">
        <v>92</v>
      </c>
      <c r="D96" s="2"/>
      <c r="E96" s="2"/>
      <c r="F96" s="10"/>
      <c r="H96" s="2"/>
      <c r="K96" s="2"/>
      <c r="L96" s="2"/>
      <c r="M96" s="2"/>
      <c r="N96" s="6"/>
      <c r="O96" s="5"/>
      <c r="P96" s="5"/>
      <c r="Q96" s="2"/>
      <c r="R96" s="2"/>
      <c r="S96" s="2"/>
      <c r="T96" s="16"/>
      <c r="U96" s="7"/>
      <c r="V96" s="7"/>
    </row>
    <row r="97" spans="1:22" x14ac:dyDescent="0.2">
      <c r="B97" s="13">
        <v>93</v>
      </c>
      <c r="D97" s="2"/>
      <c r="E97" s="2"/>
      <c r="F97" s="10"/>
      <c r="H97" s="2"/>
      <c r="K97" s="2"/>
      <c r="L97" s="2"/>
      <c r="M97" s="2"/>
      <c r="N97" s="6"/>
      <c r="O97" s="5"/>
      <c r="P97" s="5"/>
      <c r="Q97" s="2"/>
      <c r="R97" s="2"/>
      <c r="S97" s="2"/>
      <c r="T97" s="16"/>
      <c r="U97" s="7"/>
      <c r="V97" s="7"/>
    </row>
    <row r="98" spans="1:22" ht="12.75" customHeight="1" x14ac:dyDescent="0.2">
      <c r="B98" s="13">
        <v>94</v>
      </c>
      <c r="D98" s="2"/>
      <c r="E98" s="2"/>
      <c r="F98" s="10"/>
      <c r="H98" s="2"/>
      <c r="K98" s="2"/>
      <c r="L98" s="2"/>
      <c r="M98" s="2"/>
      <c r="N98" s="6"/>
      <c r="O98" s="5"/>
      <c r="P98" s="5"/>
      <c r="Q98" s="2"/>
      <c r="R98" s="2"/>
      <c r="S98" s="2"/>
      <c r="T98" s="16"/>
      <c r="U98" s="7"/>
      <c r="V98" s="7"/>
    </row>
    <row r="99" spans="1:22" x14ac:dyDescent="0.2">
      <c r="B99" s="13">
        <v>95</v>
      </c>
      <c r="D99" s="2"/>
      <c r="E99" s="2"/>
      <c r="F99" s="10"/>
      <c r="H99" s="2"/>
      <c r="K99" s="2"/>
      <c r="L99" s="2"/>
      <c r="M99" s="2"/>
      <c r="N99" s="6"/>
      <c r="O99" s="5"/>
      <c r="P99" s="5"/>
      <c r="Q99" s="2"/>
      <c r="R99" s="2"/>
      <c r="S99" s="2"/>
      <c r="T99" s="16"/>
      <c r="U99" s="7"/>
      <c r="V99" s="7"/>
    </row>
    <row r="100" spans="1:22" x14ac:dyDescent="0.2">
      <c r="B100" s="13">
        <v>96</v>
      </c>
      <c r="D100" s="2"/>
      <c r="E100" s="2"/>
      <c r="F100" s="10"/>
      <c r="H100" s="2"/>
      <c r="K100" s="2"/>
      <c r="L100" s="2"/>
      <c r="M100" s="2"/>
      <c r="N100" s="6"/>
      <c r="O100" s="5"/>
      <c r="P100" s="5"/>
      <c r="Q100" s="2"/>
      <c r="R100" s="2"/>
      <c r="S100" s="2"/>
      <c r="T100" s="16"/>
      <c r="U100" s="7"/>
      <c r="V100" s="7"/>
    </row>
    <row r="101" spans="1:22" x14ac:dyDescent="0.2">
      <c r="B101" s="13">
        <v>97</v>
      </c>
      <c r="D101" s="2"/>
      <c r="E101" s="2"/>
      <c r="F101" s="10"/>
      <c r="H101" s="2"/>
      <c r="K101" s="2"/>
      <c r="L101" s="2"/>
      <c r="M101" s="2"/>
      <c r="N101" s="6"/>
      <c r="O101" s="5"/>
      <c r="P101" s="5"/>
      <c r="Q101" s="2"/>
      <c r="R101" s="2"/>
      <c r="S101" s="2"/>
      <c r="T101" s="16"/>
      <c r="U101" s="7"/>
      <c r="V101" s="7"/>
    </row>
    <row r="102" spans="1:22" x14ac:dyDescent="0.2">
      <c r="B102" s="13">
        <v>98</v>
      </c>
      <c r="D102" s="2"/>
      <c r="E102" s="2"/>
      <c r="F102" s="10"/>
      <c r="H102" s="2"/>
      <c r="K102" s="2"/>
      <c r="L102" s="2"/>
      <c r="M102" s="2"/>
      <c r="N102" s="6"/>
      <c r="O102" s="5"/>
      <c r="P102" s="5"/>
      <c r="Q102" s="2"/>
      <c r="R102" s="2"/>
      <c r="S102" s="2"/>
      <c r="T102" s="16"/>
      <c r="U102" s="7"/>
      <c r="V102" s="7"/>
    </row>
    <row r="103" spans="1:22" x14ac:dyDescent="0.2">
      <c r="B103" s="13">
        <v>99</v>
      </c>
      <c r="D103" s="2"/>
      <c r="E103" s="2"/>
      <c r="F103" s="10"/>
      <c r="H103" s="2"/>
      <c r="K103" s="2"/>
      <c r="L103" s="2"/>
      <c r="M103" s="2"/>
      <c r="N103" s="6"/>
      <c r="O103" s="5"/>
      <c r="P103" s="5"/>
      <c r="Q103" s="2"/>
      <c r="R103" s="2"/>
      <c r="S103" s="2"/>
      <c r="T103" s="16"/>
      <c r="U103" s="7"/>
      <c r="V103" s="7"/>
    </row>
    <row r="104" spans="1:22" ht="12.75" customHeight="1" x14ac:dyDescent="0.2">
      <c r="A104" s="3" t="s">
        <v>205</v>
      </c>
      <c r="B104" s="13">
        <v>100</v>
      </c>
      <c r="D104" s="2"/>
      <c r="E104" s="2"/>
      <c r="F104" s="10"/>
      <c r="H104" s="2"/>
      <c r="K104" s="2"/>
      <c r="L104" s="2"/>
      <c r="M104" s="2"/>
      <c r="N104" s="6"/>
      <c r="O104" s="5"/>
      <c r="P104" s="5"/>
      <c r="Q104" s="2"/>
      <c r="R104" s="2"/>
      <c r="S104" s="2"/>
      <c r="T104" s="16"/>
      <c r="U104" s="7"/>
      <c r="V104" s="7"/>
    </row>
    <row r="105" spans="1:22" x14ac:dyDescent="0.2">
      <c r="B105" s="13">
        <v>101</v>
      </c>
      <c r="E105" s="2"/>
      <c r="F105" s="2"/>
      <c r="J105" s="2"/>
      <c r="K105" s="2"/>
      <c r="L105" s="2"/>
      <c r="N105" s="6"/>
      <c r="O105" s="4"/>
      <c r="P105" s="15"/>
      <c r="Q105" s="2"/>
      <c r="R105" s="2"/>
      <c r="S105" s="2"/>
      <c r="T105" s="16"/>
      <c r="U105" s="2"/>
      <c r="V105" s="7"/>
    </row>
    <row r="106" spans="1:22" x14ac:dyDescent="0.2">
      <c r="B106" s="13">
        <v>102</v>
      </c>
      <c r="O106" s="1"/>
      <c r="P106" s="15"/>
      <c r="V106" s="7"/>
    </row>
    <row r="107" spans="1:22" x14ac:dyDescent="0.2">
      <c r="B107" s="13">
        <v>103</v>
      </c>
      <c r="V107" s="8"/>
    </row>
    <row r="108" spans="1:22" x14ac:dyDescent="0.2">
      <c r="B108" s="13">
        <v>104</v>
      </c>
      <c r="V108" s="8"/>
    </row>
    <row r="109" spans="1:22" x14ac:dyDescent="0.2">
      <c r="B109" s="13">
        <v>105</v>
      </c>
      <c r="V109" s="7"/>
    </row>
    <row r="110" spans="1:22" x14ac:dyDescent="0.2">
      <c r="B110" s="13">
        <v>106</v>
      </c>
      <c r="V110" s="9"/>
    </row>
    <row r="111" spans="1:22" x14ac:dyDescent="0.2">
      <c r="B111" s="13">
        <v>107</v>
      </c>
      <c r="V111" s="7"/>
    </row>
    <row r="112" spans="1:22" x14ac:dyDescent="0.2">
      <c r="B112" s="13">
        <v>108</v>
      </c>
      <c r="V112" s="15"/>
    </row>
    <row r="113" spans="2:22" x14ac:dyDescent="0.2">
      <c r="B113" s="13">
        <v>109</v>
      </c>
      <c r="V113" s="2"/>
    </row>
    <row r="114" spans="2:22" x14ac:dyDescent="0.2">
      <c r="B114" s="13">
        <v>110</v>
      </c>
      <c r="V114" s="2"/>
    </row>
    <row r="115" spans="2:22" x14ac:dyDescent="0.2">
      <c r="B115" s="13">
        <v>111</v>
      </c>
      <c r="V115" s="2"/>
    </row>
    <row r="116" spans="2:22" x14ac:dyDescent="0.2">
      <c r="B116" s="13">
        <v>112</v>
      </c>
      <c r="V116" s="9"/>
    </row>
    <row r="117" spans="2:22" x14ac:dyDescent="0.2">
      <c r="B117" s="13">
        <v>113</v>
      </c>
      <c r="V117" s="2"/>
    </row>
    <row r="118" spans="2:22" x14ac:dyDescent="0.2">
      <c r="B118" s="13">
        <v>114</v>
      </c>
      <c r="V118" s="2"/>
    </row>
    <row r="119" spans="2:22" x14ac:dyDescent="0.2">
      <c r="B119" s="13">
        <v>115</v>
      </c>
      <c r="V119" s="2"/>
    </row>
    <row r="120" spans="2:22" x14ac:dyDescent="0.2">
      <c r="B120" s="13">
        <v>116</v>
      </c>
      <c r="V120" s="2"/>
    </row>
    <row r="121" spans="2:22" x14ac:dyDescent="0.2">
      <c r="B121" s="13">
        <v>117</v>
      </c>
      <c r="V121" s="2"/>
    </row>
    <row r="122" spans="2:22" x14ac:dyDescent="0.2">
      <c r="B122" s="13">
        <v>118</v>
      </c>
      <c r="V122" s="9"/>
    </row>
    <row r="123" spans="2:22" x14ac:dyDescent="0.2">
      <c r="B123" s="13">
        <v>119</v>
      </c>
      <c r="V123" s="9"/>
    </row>
    <row r="124" spans="2:22" x14ac:dyDescent="0.2">
      <c r="B124" s="13">
        <v>120</v>
      </c>
      <c r="V124" s="9"/>
    </row>
    <row r="125" spans="2:22" x14ac:dyDescent="0.2">
      <c r="B125" s="13">
        <v>121</v>
      </c>
      <c r="V125" s="9"/>
    </row>
    <row r="126" spans="2:22" x14ac:dyDescent="0.2">
      <c r="B126" s="13"/>
      <c r="V126" s="9"/>
    </row>
    <row r="127" spans="2:22" x14ac:dyDescent="0.2">
      <c r="B127" s="13"/>
      <c r="V127" s="9"/>
    </row>
    <row r="128" spans="2:22" x14ac:dyDescent="0.2">
      <c r="B128" s="13"/>
      <c r="V128" s="9"/>
    </row>
    <row r="129" spans="2:22" x14ac:dyDescent="0.2">
      <c r="B129" s="13"/>
      <c r="V129" s="9"/>
    </row>
    <row r="130" spans="2:22" x14ac:dyDescent="0.2">
      <c r="B130" s="13"/>
      <c r="V130" s="9"/>
    </row>
    <row r="131" spans="2:22" x14ac:dyDescent="0.2">
      <c r="B131" s="13"/>
      <c r="V131" s="9"/>
    </row>
    <row r="132" spans="2:22" x14ac:dyDescent="0.2">
      <c r="B132" s="13"/>
      <c r="V132" s="7"/>
    </row>
    <row r="133" spans="2:22" x14ac:dyDescent="0.2">
      <c r="B133" s="13"/>
      <c r="V133" s="7"/>
    </row>
    <row r="134" spans="2:22" x14ac:dyDescent="0.2">
      <c r="B134" s="13"/>
      <c r="V134" s="7"/>
    </row>
    <row r="135" spans="2:22" x14ac:dyDescent="0.2">
      <c r="B135" s="13"/>
      <c r="V135" s="14"/>
    </row>
    <row r="136" spans="2:22" x14ac:dyDescent="0.2">
      <c r="B136" s="13"/>
      <c r="V136" s="7"/>
    </row>
    <row r="137" spans="2:22" x14ac:dyDescent="0.2">
      <c r="B137" s="13"/>
      <c r="V137" s="7"/>
    </row>
    <row r="138" spans="2:22" x14ac:dyDescent="0.2">
      <c r="B138" s="13"/>
      <c r="V138" s="7"/>
    </row>
    <row r="139" spans="2:22" x14ac:dyDescent="0.2">
      <c r="B139" s="13"/>
      <c r="V139" s="7"/>
    </row>
    <row r="140" spans="2:22" x14ac:dyDescent="0.2">
      <c r="B140" s="13"/>
      <c r="V140" s="7"/>
    </row>
    <row r="141" spans="2:22" x14ac:dyDescent="0.2">
      <c r="B141" s="13"/>
      <c r="V141" s="7"/>
    </row>
    <row r="142" spans="2:22" x14ac:dyDescent="0.2">
      <c r="B142" s="13"/>
      <c r="V142" s="7"/>
    </row>
    <row r="143" spans="2:22" x14ac:dyDescent="0.2">
      <c r="B143" s="13"/>
      <c r="V143" s="7"/>
    </row>
    <row r="144" spans="2:22" x14ac:dyDescent="0.2">
      <c r="B144" s="13"/>
      <c r="V144" s="7"/>
    </row>
    <row r="145" spans="2:22" x14ac:dyDescent="0.2">
      <c r="B145" s="13"/>
      <c r="V145" s="7"/>
    </row>
    <row r="146" spans="2:22" x14ac:dyDescent="0.2">
      <c r="B146" s="13"/>
      <c r="V146" s="7"/>
    </row>
    <row r="147" spans="2:22" x14ac:dyDescent="0.2">
      <c r="B147" s="13"/>
      <c r="V147" s="7"/>
    </row>
    <row r="148" spans="2:22" x14ac:dyDescent="0.2">
      <c r="B148" s="13"/>
      <c r="V148" s="7"/>
    </row>
    <row r="149" spans="2:22" x14ac:dyDescent="0.2">
      <c r="B149" s="13"/>
      <c r="V149" s="7"/>
    </row>
    <row r="150" spans="2:22" x14ac:dyDescent="0.2">
      <c r="B150" s="13"/>
      <c r="V150" s="7"/>
    </row>
    <row r="151" spans="2:22" x14ac:dyDescent="0.2">
      <c r="B151" s="13"/>
      <c r="V151" s="7"/>
    </row>
    <row r="152" spans="2:22" x14ac:dyDescent="0.2">
      <c r="B152" s="13"/>
      <c r="V152" s="7"/>
    </row>
    <row r="153" spans="2:22" x14ac:dyDescent="0.2">
      <c r="B153" s="26"/>
      <c r="V153" s="2"/>
    </row>
  </sheetData>
  <mergeCells count="1">
    <mergeCell ref="B1:V2"/>
  </mergeCells>
  <hyperlinks>
    <hyperlink ref="N5" r:id="rId1" xr:uid="{00000000-0004-0000-0000-000000000000}"/>
    <hyperlink ref="N6" r:id="rId2" xr:uid="{00000000-0004-0000-0000-000001000000}"/>
    <hyperlink ref="N7" r:id="rId3" xr:uid="{00000000-0004-0000-0000-000002000000}"/>
    <hyperlink ref="N8" r:id="rId4" xr:uid="{00000000-0004-0000-0000-000003000000}"/>
    <hyperlink ref="N9" r:id="rId5" xr:uid="{00000000-0004-0000-0000-000004000000}"/>
    <hyperlink ref="N10" r:id="rId6" xr:uid="{00000000-0004-0000-0000-000005000000}"/>
    <hyperlink ref="N11" r:id="rId7" xr:uid="{00000000-0004-0000-0000-000006000000}"/>
    <hyperlink ref="N12" r:id="rId8" xr:uid="{00000000-0004-0000-0000-000007000000}"/>
    <hyperlink ref="N13" r:id="rId9" xr:uid="{00000000-0004-0000-0000-000008000000}"/>
    <hyperlink ref="N15" r:id="rId10" xr:uid="{00000000-0004-0000-0000-00000A000000}"/>
    <hyperlink ref="N16" r:id="rId11" xr:uid="{00000000-0004-0000-0000-00000B000000}"/>
    <hyperlink ref="N17" r:id="rId12" xr:uid="{00000000-0004-0000-0000-00000C000000}"/>
    <hyperlink ref="N18" r:id="rId13" xr:uid="{00000000-0004-0000-0000-00000D000000}"/>
    <hyperlink ref="N19" r:id="rId14" xr:uid="{00000000-0004-0000-0000-00000E000000}"/>
    <hyperlink ref="N20" r:id="rId15" xr:uid="{00000000-0004-0000-0000-00000F000000}"/>
    <hyperlink ref="N21" r:id="rId16" xr:uid="{00000000-0004-0000-0000-000010000000}"/>
    <hyperlink ref="N22" r:id="rId17" xr:uid="{00000000-0004-0000-0000-000011000000}"/>
    <hyperlink ref="N23" r:id="rId18" xr:uid="{00000000-0004-0000-0000-000012000000}"/>
    <hyperlink ref="N24" r:id="rId19" xr:uid="{00000000-0004-0000-0000-000013000000}"/>
    <hyperlink ref="N25" r:id="rId20" xr:uid="{00000000-0004-0000-0000-000014000000}"/>
    <hyperlink ref="N26" r:id="rId21" xr:uid="{00000000-0004-0000-0000-000015000000}"/>
    <hyperlink ref="N27" r:id="rId22" xr:uid="{00000000-0004-0000-0000-000016000000}"/>
    <hyperlink ref="N28" r:id="rId23" xr:uid="{00000000-0004-0000-0000-000017000000}"/>
    <hyperlink ref="N29" r:id="rId24" xr:uid="{00000000-0004-0000-0000-000018000000}"/>
    <hyperlink ref="N30" r:id="rId25" xr:uid="{00000000-0004-0000-0000-000019000000}"/>
    <hyperlink ref="N31" r:id="rId26" xr:uid="{00000000-0004-0000-0000-00001A000000}"/>
    <hyperlink ref="N32" r:id="rId27" xr:uid="{00000000-0004-0000-0000-00001B000000}"/>
    <hyperlink ref="N33" r:id="rId28" xr:uid="{00000000-0004-0000-0000-00001C000000}"/>
    <hyperlink ref="N34" r:id="rId29" xr:uid="{00000000-0004-0000-0000-00001D000000}"/>
    <hyperlink ref="N35" r:id="rId30" xr:uid="{00000000-0004-0000-0000-00001E000000}"/>
    <hyperlink ref="N36" r:id="rId31" xr:uid="{00000000-0004-0000-0000-00001F000000}"/>
    <hyperlink ref="N37" r:id="rId32" xr:uid="{00000000-0004-0000-0000-000020000000}"/>
    <hyperlink ref="N38" r:id="rId33" xr:uid="{00000000-0004-0000-0000-000021000000}"/>
    <hyperlink ref="N39" r:id="rId34" xr:uid="{00000000-0004-0000-0000-000022000000}"/>
    <hyperlink ref="N40" r:id="rId35" xr:uid="{00000000-0004-0000-0000-000023000000}"/>
    <hyperlink ref="N41" r:id="rId36" xr:uid="{00000000-0004-0000-0000-000024000000}"/>
    <hyperlink ref="N42" r:id="rId37" xr:uid="{00000000-0004-0000-0000-000025000000}"/>
    <hyperlink ref="N43" r:id="rId38" xr:uid="{00000000-0004-0000-0000-000026000000}"/>
    <hyperlink ref="N44" r:id="rId39" xr:uid="{00000000-0004-0000-0000-000027000000}"/>
    <hyperlink ref="N45" r:id="rId40" xr:uid="{00000000-0004-0000-0000-000028000000}"/>
    <hyperlink ref="N46" r:id="rId41" xr:uid="{00000000-0004-0000-0000-000029000000}"/>
    <hyperlink ref="N47" r:id="rId42" xr:uid="{00000000-0004-0000-0000-00002A000000}"/>
    <hyperlink ref="N48" r:id="rId43" xr:uid="{00000000-0004-0000-0000-00002B000000}"/>
    <hyperlink ref="N49" r:id="rId44" xr:uid="{00000000-0004-0000-0000-00002C000000}"/>
    <hyperlink ref="N50" r:id="rId45" xr:uid="{00000000-0004-0000-0000-00002D000000}"/>
    <hyperlink ref="N51" r:id="rId46" xr:uid="{00000000-0004-0000-0000-00002E000000}"/>
    <hyperlink ref="N52" r:id="rId47" xr:uid="{00000000-0004-0000-0000-00002F000000}"/>
    <hyperlink ref="N53" r:id="rId48" xr:uid="{00000000-0004-0000-0000-000030000000}"/>
    <hyperlink ref="N55" r:id="rId49" xr:uid="{00000000-0004-0000-0000-000032000000}"/>
    <hyperlink ref="N56" r:id="rId50" xr:uid="{00000000-0004-0000-0000-000033000000}"/>
    <hyperlink ref="N57" r:id="rId51" xr:uid="{00000000-0004-0000-0000-000034000000}"/>
    <hyperlink ref="N58" r:id="rId52" xr:uid="{00000000-0004-0000-0000-000035000000}"/>
    <hyperlink ref="N59" r:id="rId53" xr:uid="{00000000-0004-0000-0000-000036000000}"/>
    <hyperlink ref="N61" r:id="rId54" xr:uid="{00000000-0004-0000-0000-000037000000}"/>
    <hyperlink ref="N62" r:id="rId55" xr:uid="{00000000-0004-0000-0000-000038000000}"/>
    <hyperlink ref="N63" r:id="rId56" xr:uid="{00000000-0004-0000-0000-000039000000}"/>
    <hyperlink ref="N64" r:id="rId57" xr:uid="{00000000-0004-0000-0000-00003A000000}"/>
    <hyperlink ref="N65" r:id="rId58" xr:uid="{00000000-0004-0000-0000-00003B000000}"/>
    <hyperlink ref="N66" r:id="rId59" xr:uid="{00000000-0004-0000-0000-00003C000000}"/>
    <hyperlink ref="N67" r:id="rId60" xr:uid="{00000000-0004-0000-0000-00003D000000}"/>
    <hyperlink ref="N68" r:id="rId61" xr:uid="{00000000-0004-0000-0000-00003E000000}"/>
    <hyperlink ref="N69" r:id="rId62" xr:uid="{00000000-0004-0000-0000-00003F000000}"/>
    <hyperlink ref="N70" r:id="rId63" xr:uid="{00000000-0004-0000-0000-000040000000}"/>
    <hyperlink ref="N71" r:id="rId64" xr:uid="{00000000-0004-0000-0000-000041000000}"/>
    <hyperlink ref="N72" r:id="rId65" xr:uid="{00000000-0004-0000-0000-000042000000}"/>
    <hyperlink ref="N73" r:id="rId66" xr:uid="{00000000-0004-0000-0000-000043000000}"/>
    <hyperlink ref="N74" r:id="rId67" xr:uid="{00000000-0004-0000-0000-000044000000}"/>
    <hyperlink ref="N14" r:id="rId68" xr:uid="{10E3B235-50D7-4B09-ABC2-9117EB294C30}"/>
    <hyperlink ref="N54" r:id="rId69" xr:uid="{2262067C-7CEC-4E57-BC8E-D9940464C74F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DMF Assembly Station #2 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zq363c</dc:creator>
  <cp:lastModifiedBy>Cam Carrillo</cp:lastModifiedBy>
  <dcterms:created xsi:type="dcterms:W3CDTF">2010-07-15T17:40:58Z</dcterms:created>
  <dcterms:modified xsi:type="dcterms:W3CDTF">2026-03-06T22:47:34Z</dcterms:modified>
</cp:coreProperties>
</file>