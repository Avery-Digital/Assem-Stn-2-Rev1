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emplates\"/>
    </mc:Choice>
  </mc:AlternateContent>
  <xr:revisionPtr revIDLastSave="0" documentId="13_ncr:1_{5CE60F04-5AD9-4FD3-B656-EE1A97D9AB18}" xr6:coauthVersionLast="47" xr6:coauthVersionMax="47" xr10:uidLastSave="{00000000-0000-0000-0000-000000000000}"/>
  <bookViews>
    <workbookView xWindow="40170" yWindow="4710" windowWidth="28800" windowHeight="15345" xr2:uid="{00000000-000D-0000-FFFF-FFFF00000000}"/>
  </bookViews>
  <sheets>
    <sheet name="PO Form" sheetId="2" r:id="rId1"/>
  </sheets>
  <definedNames>
    <definedName name="_xlnm.Print_Area" localSheetId="0">'PO Form'!$A$1:$G$36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2" l="1"/>
  <c r="G23" i="2"/>
  <c r="G24" i="2"/>
  <c r="G25" i="2"/>
  <c r="G26" i="2"/>
  <c r="E36" i="2"/>
  <c r="C19" i="2"/>
  <c r="F3" i="2" a="1"/>
  <c r="F3" i="2" s="1"/>
  <c r="G27" i="2" l="1"/>
  <c r="G30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<sst xmlns="http://schemas.openxmlformats.org/spreadsheetml/2006/main" count="49" uniqueCount="47">
  <si>
    <t>Avery Bio Corporation</t>
  </si>
  <si>
    <t>Purchase Order</t>
  </si>
  <si>
    <t>www.averybio.com</t>
  </si>
  <si>
    <t>Date</t>
  </si>
  <si>
    <t>ap@avery.tech</t>
  </si>
  <si>
    <t>PO #</t>
  </si>
  <si>
    <t>(703) 869-9382</t>
  </si>
  <si>
    <t>Requester:</t>
  </si>
  <si>
    <t>11025 N Torrey Pines Rd., STE 100</t>
  </si>
  <si>
    <t>Requester Email:</t>
  </si>
  <si>
    <t>La Jolla, CA 92037</t>
  </si>
  <si>
    <t>Vendor:</t>
  </si>
  <si>
    <t>Address:</t>
  </si>
  <si>
    <t>Website:</t>
  </si>
  <si>
    <t>Phone:</t>
  </si>
  <si>
    <t>Contact Name:</t>
  </si>
  <si>
    <t>Contact Email:</t>
  </si>
  <si>
    <t>Quote #:</t>
  </si>
  <si>
    <t>Ship To Address:</t>
  </si>
  <si>
    <t>Avery Bio Corporation, 11025 N Torrey Pines Rd., STE 100, La Jolla, CA 92037, USA</t>
  </si>
  <si>
    <t>Attention:</t>
  </si>
  <si>
    <t>Line</t>
  </si>
  <si>
    <t>Part#</t>
  </si>
  <si>
    <t>Description</t>
  </si>
  <si>
    <t>Date Required</t>
  </si>
  <si>
    <t>Qty</t>
  </si>
  <si>
    <t>Unit Price</t>
  </si>
  <si>
    <t>Subtotal</t>
  </si>
  <si>
    <t>Notes:</t>
  </si>
  <si>
    <t>Sub Total</t>
  </si>
  <si>
    <t>Sales tax</t>
  </si>
  <si>
    <t>-</t>
  </si>
  <si>
    <t>Shipping</t>
  </si>
  <si>
    <t>Total</t>
  </si>
  <si>
    <t>Authorized Signature:</t>
  </si>
  <si>
    <t>Name:</t>
  </si>
  <si>
    <t>Ryan de Ridder</t>
  </si>
  <si>
    <t>Date:</t>
  </si>
  <si>
    <t>Cam Carrillo</t>
  </si>
  <si>
    <t>Cam.carrillo@avery.tech</t>
  </si>
  <si>
    <t>QSIC (Quality Systems Integrated Corporation)</t>
  </si>
  <si>
    <t>Liz Yeung</t>
  </si>
  <si>
    <t>liz.yeung@qsic.com</t>
  </si>
  <si>
    <t>AVERYTECH26-02(CG)</t>
  </si>
  <si>
    <t>NRE - Stencils</t>
  </si>
  <si>
    <t>ASSEM_STN_Rev1</t>
  </si>
  <si>
    <t>Assembly Station #2 -Component 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</si>
</sst>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[$-409]mmm\ d\,\ yyyy;@"/>
    <numFmt numFmtId="166" formatCode="yyyymmdd"/>
  </numFmts>
  <fonts count="12" x14ac:knownFonts="1">
    <font>
      <sz val="10"/>
      <name val="Arial"/>
      <family val="2"/>
    </font>
    <font>
      <sz val="10"/>
      <name val="Verdana"/>
      <family val="2"/>
    </font>
    <font>
      <sz val="11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0"/>
      <name val="Verdana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3" fillId="2" borderId="19" applyNumberFormat="0" applyFont="0" applyAlignment="0" applyProtection="0"/>
  </cellStyleXfs>
  <cellXfs count="76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top" wrapText="1"/>
    </xf>
    <xf numFmtId="0" fontId="0" fillId="0" borderId="2" xfId="0" applyBorder="1" applyAlignment="1">
      <alignment horizontal="center"/>
    </xf>
    <xf numFmtId="49" fontId="3" fillId="0" borderId="1" xfId="0" applyNumberFormat="1" applyFont="1" applyBorder="1" applyAlignment="1">
      <alignment vertical="top" wrapText="1"/>
    </xf>
    <xf numFmtId="0" fontId="1" fillId="0" borderId="1" xfId="0" applyFont="1" applyBorder="1" applyAlignment="1">
      <alignment horizontal="right" vertical="top" wrapText="1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49" fontId="0" fillId="0" borderId="8" xfId="0" applyNumberFormat="1" applyBorder="1" applyAlignment="1">
      <alignment vertical="top" wrapText="1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7" xfId="0" applyBorder="1"/>
    <xf numFmtId="0" fontId="0" fillId="0" borderId="21" xfId="0" applyBorder="1"/>
    <xf numFmtId="0" fontId="0" fillId="0" borderId="14" xfId="0" applyBorder="1"/>
    <xf numFmtId="0" fontId="4" fillId="0" borderId="11" xfId="1" applyBorder="1" applyAlignment="1" applyProtection="1"/>
    <xf numFmtId="0" fontId="4" fillId="0" borderId="0" xfId="1" applyBorder="1" applyAlignment="1" applyProtection="1"/>
    <xf numFmtId="0" fontId="0" fillId="0" borderId="0" xfId="0" applyAlignment="1">
      <alignment horizontal="right" indent="1"/>
    </xf>
    <xf numFmtId="165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0" fontId="0" fillId="0" borderId="11" xfId="0" applyBorder="1"/>
    <xf numFmtId="0" fontId="9" fillId="0" borderId="0" xfId="0" applyFont="1" applyAlignment="1">
      <alignment horizontal="right"/>
    </xf>
    <xf numFmtId="0" fontId="0" fillId="0" borderId="0" xfId="0" applyAlignment="1">
      <alignment horizontal="right"/>
    </xf>
    <xf numFmtId="15" fontId="3" fillId="0" borderId="1" xfId="0" applyNumberFormat="1" applyFont="1" applyBorder="1" applyAlignment="1">
      <alignment vertical="top" wrapText="1"/>
    </xf>
    <xf numFmtId="0" fontId="0" fillId="3" borderId="22" xfId="0" applyFill="1" applyBorder="1"/>
    <xf numFmtId="0" fontId="0" fillId="3" borderId="23" xfId="0" applyFill="1" applyBorder="1"/>
    <xf numFmtId="0" fontId="0" fillId="3" borderId="24" xfId="0" applyFill="1" applyBorder="1"/>
    <xf numFmtId="0" fontId="0" fillId="2" borderId="19" xfId="2" applyFont="1" applyAlignment="1">
      <alignment horizontal="left"/>
    </xf>
    <xf numFmtId="0" fontId="10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right" vertical="center" wrapText="1"/>
    </xf>
    <xf numFmtId="0" fontId="10" fillId="0" borderId="3" xfId="0" applyFont="1" applyBorder="1" applyAlignment="1">
      <alignment horizontal="right" vertical="center" wrapText="1"/>
    </xf>
    <xf numFmtId="0" fontId="10" fillId="0" borderId="1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right" vertical="top" wrapText="1"/>
    </xf>
    <xf numFmtId="165" fontId="0" fillId="0" borderId="5" xfId="0" applyNumberFormat="1" applyBorder="1" applyAlignment="1">
      <alignment horizontal="left" vertical="top"/>
    </xf>
    <xf numFmtId="0" fontId="0" fillId="0" borderId="25" xfId="0" applyBorder="1"/>
    <xf numFmtId="0" fontId="0" fillId="0" borderId="26" xfId="0" applyBorder="1" applyAlignment="1">
      <alignment horizontal="left" vertical="top"/>
    </xf>
    <xf numFmtId="0" fontId="0" fillId="0" borderId="15" xfId="0" applyBorder="1"/>
    <xf numFmtId="0" fontId="0" fillId="0" borderId="5" xfId="0" applyBorder="1"/>
    <xf numFmtId="0" fontId="5" fillId="0" borderId="0" xfId="0" applyFont="1" applyAlignment="1">
      <alignment horizontal="right"/>
    </xf>
    <xf numFmtId="0" fontId="5" fillId="0" borderId="27" xfId="0" applyFont="1" applyBorder="1" applyAlignment="1">
      <alignment horizontal="right" vertical="top"/>
    </xf>
    <xf numFmtId="0" fontId="0" fillId="0" borderId="28" xfId="0" applyBorder="1"/>
    <xf numFmtId="0" fontId="5" fillId="0" borderId="28" xfId="0" applyFont="1" applyBorder="1" applyAlignment="1">
      <alignment horizontal="right" vertical="top"/>
    </xf>
    <xf numFmtId="0" fontId="5" fillId="0" borderId="29" xfId="0" applyFont="1" applyBorder="1" applyAlignment="1">
      <alignment horizontal="right" vertical="top"/>
    </xf>
    <xf numFmtId="0" fontId="0" fillId="0" borderId="10" xfId="0" applyBorder="1"/>
    <xf numFmtId="0" fontId="6" fillId="0" borderId="16" xfId="0" applyFont="1" applyBorder="1"/>
    <xf numFmtId="0" fontId="6" fillId="0" borderId="17" xfId="0" applyFont="1" applyBorder="1"/>
    <xf numFmtId="0" fontId="7" fillId="0" borderId="17" xfId="0" applyFont="1" applyBorder="1"/>
    <xf numFmtId="0" fontId="6" fillId="0" borderId="17" xfId="0" applyFont="1" applyBorder="1" applyAlignment="1">
      <alignment horizontal="centerContinuous"/>
    </xf>
    <xf numFmtId="0" fontId="6" fillId="0" borderId="17" xfId="0" applyFont="1" applyBorder="1" applyAlignment="1">
      <alignment horizontal="right"/>
    </xf>
    <xf numFmtId="164" fontId="3" fillId="0" borderId="1" xfId="0" applyNumberFormat="1" applyFont="1" applyBorder="1" applyAlignment="1">
      <alignment horizontal="right" vertical="top" wrapText="1"/>
    </xf>
    <xf numFmtId="164" fontId="3" fillId="0" borderId="3" xfId="0" applyNumberFormat="1" applyFont="1" applyBorder="1" applyAlignment="1">
      <alignment horizontal="right" vertical="top" wrapText="1"/>
    </xf>
    <xf numFmtId="164" fontId="1" fillId="0" borderId="3" xfId="0" applyNumberFormat="1" applyFont="1" applyBorder="1" applyAlignment="1">
      <alignment horizontal="right" vertical="top" wrapText="1"/>
    </xf>
    <xf numFmtId="164" fontId="10" fillId="0" borderId="3" xfId="0" applyNumberFormat="1" applyFont="1" applyBorder="1" applyAlignment="1">
      <alignment horizontal="right" vertical="top" wrapText="1"/>
    </xf>
    <xf numFmtId="0" fontId="11" fillId="0" borderId="1" xfId="0" applyFont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vertical="center" wrapText="1"/>
    </xf>
    <xf numFmtId="0" fontId="4" fillId="0" borderId="0" xfId="1" applyAlignment="1" applyProtection="1"/>
    <xf numFmtId="0" fontId="0" fillId="0" borderId="4" xfId="0" applyBorder="1"/>
    <xf numFmtId="0" fontId="0" fillId="0" borderId="7" xfId="0" applyBorder="1"/>
    <xf numFmtId="0" fontId="0" fillId="0" borderId="10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8" fillId="0" borderId="4" xfId="0" applyFont="1" applyBorder="1"/>
    <xf numFmtId="0" fontId="4" fillId="0" borderId="7" xfId="1" applyBorder="1" applyAlignment="1" applyProtection="1"/>
    <xf numFmtId="0" fontId="4" fillId="0" borderId="7" xfId="1" applyBorder="1" applyAlignment="1" applyProtection="1">
      <alignment wrapText="1"/>
    </xf>
    <xf numFmtId="0" fontId="0" fillId="0" borderId="7" xfId="0" applyBorder="1" applyAlignment="1">
      <alignment horizontal="left"/>
    </xf>
  </cellXfs>
  <cellStyles count="3">
    <cellStyle name="Hyperlink" xfId="1" builtinId="8"/>
    <cellStyle name="Normal" xfId="0" builtinId="0"/>
    <cellStyle name="Note" xfId="2" builtinId="10"/>
  </cellStyles>
  <dxfs count="0"/>
  <tableStyles count="0" defaultTableStyle="TableStyleMedium9" defaultPivotStyle="PivotStyleLight16"/>
  <colors>
    <mruColors>
      <color rgb="FFA5FF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714375</xdr:colOff>
      <xdr:row>31</xdr:row>
      <xdr:rowOff>142875</xdr:rowOff>
    </xdr:from>
    <xdr:to>
      <xdr:col>2</xdr:col>
      <xdr:colOff>1555348</xdr:colOff>
      <xdr:row>35</xdr:row>
      <xdr:rowOff>31748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74C4EA8-DAF7-4058-993D-F8DF9DCE3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5753100"/>
          <a:ext cx="207605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am.carrillo@avery.tech" TargetMode="External"/><Relationship Id="rId2" Type="http://schemas.openxmlformats.org/officeDocument/2006/relationships/hyperlink" Target="mailto:ap@avery.tech" TargetMode="External"/><Relationship Id="rId1" Type="http://schemas.openxmlformats.org/officeDocument/2006/relationships/hyperlink" Target="http://www.averybio.com/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liz.yeung@qsi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66"/>
  <sheetViews>
    <sheetView showGridLines="0" showZeros="0" tabSelected="1" zoomScale="90" zoomScaleNormal="90" workbookViewId="0">
      <selection activeCell="F2" sqref="F2"/>
    </sheetView>
  </sheetViews>
  <sheetFormatPr defaultRowHeight="12.75" x14ac:dyDescent="0.2"/>
  <cols>
    <col min="1" max="1" width="7.140625" customWidth="1"/>
    <col min="2" max="2" width="18.5703125" customWidth="1"/>
    <col min="3" max="3" width="42.85546875" customWidth="1"/>
    <col min="4" max="7" width="17.140625" customWidth="1"/>
  </cols>
  <sheetData>
    <row r="1" spans="1:7" ht="24" thickTop="1" x14ac:dyDescent="0.35">
      <c r="A1" s="52"/>
      <c r="B1" s="53" t="s">
        <v>0</v>
      </c>
      <c r="C1" s="54"/>
      <c r="D1" s="17"/>
      <c r="E1" s="55"/>
      <c r="F1" s="56" t="s">
        <v>1</v>
      </c>
      <c r="G1" s="18"/>
    </row>
    <row r="2" spans="1:7" x14ac:dyDescent="0.2">
      <c r="A2" s="20"/>
      <c r="B2" s="21" t="s">
        <v>2</v>
      </c>
      <c r="E2" s="22" t="s">
        <v>3</v>
      </c>
      <c r="F2" s="23">
        <v>46105</v>
      </c>
      <c r="G2" s="19"/>
    </row>
    <row r="3" spans="1:7" ht="14.25" x14ac:dyDescent="0.2">
      <c r="A3" s="20"/>
      <c r="B3" s="21" t="s">
        <v>4</v>
      </c>
      <c r="C3" s="1"/>
      <c r="E3" s="22" t="s">
        <v>5</v>
      </c>
      <c r="F3" s="24" t="str" cm="1">
        <f t="array" ref="F3">TEXT($F$2,"YYYY")&amp;TEXT($F$2,"MM")&amp;TEXT($F$2,"DD")&amp;_xlfn.TEXTJOIN("",TRUE,LEFT(_xlfn.TEXTSPLIT($F$4," "),1))&amp;_xlfn.TEXTJOIN("",TRUE,LEFT(_xlfn.TEXTSPLIT($C$10," "),1))</f>
        <v>20260324CCQ(SIC</v>
      </c>
      <c r="G3" s="19"/>
    </row>
    <row r="4" spans="1:7" x14ac:dyDescent="0.2">
      <c r="A4" s="25"/>
      <c r="B4" t="s">
        <v>6</v>
      </c>
      <c r="E4" s="22" t="s">
        <v>7</v>
      </c>
      <c r="F4" s="32" t="s">
        <v>38</v>
      </c>
      <c r="G4" s="19"/>
    </row>
    <row r="5" spans="1:7" x14ac:dyDescent="0.2">
      <c r="A5" s="25"/>
      <c r="B5" t="s">
        <v>8</v>
      </c>
      <c r="E5" s="22" t="s">
        <v>9</v>
      </c>
      <c r="F5" s="63" t="s">
        <v>39</v>
      </c>
      <c r="G5" s="19"/>
    </row>
    <row r="6" spans="1:7" x14ac:dyDescent="0.2">
      <c r="A6" s="25"/>
      <c r="B6" t="s">
        <v>10</v>
      </c>
      <c r="G6" s="19"/>
    </row>
    <row r="7" spans="1:7" ht="3.75" customHeight="1" thickBot="1" x14ac:dyDescent="0.25">
      <c r="A7" s="25"/>
      <c r="G7" s="19"/>
    </row>
    <row r="8" spans="1:7" ht="3.75" customHeight="1" thickBot="1" x14ac:dyDescent="0.25">
      <c r="A8" s="29"/>
      <c r="B8" s="30"/>
      <c r="C8" s="30"/>
      <c r="D8" s="30"/>
      <c r="E8" s="30"/>
      <c r="F8" s="30"/>
      <c r="G8" s="31"/>
    </row>
    <row r="9" spans="1:7" ht="3.75" customHeight="1" x14ac:dyDescent="0.2">
      <c r="A9" s="25"/>
      <c r="G9" s="19"/>
    </row>
    <row r="10" spans="1:7" ht="18" x14ac:dyDescent="0.25">
      <c r="A10" s="25"/>
      <c r="B10" s="26" t="s">
        <v>11</v>
      </c>
      <c r="C10" s="72" t="s">
        <v>40</v>
      </c>
      <c r="D10" s="72"/>
      <c r="E10" s="72"/>
      <c r="G10" s="19"/>
    </row>
    <row r="11" spans="1:7" x14ac:dyDescent="0.2">
      <c r="A11" s="25"/>
      <c r="B11" s="27" t="s">
        <v>12</v>
      </c>
      <c r="C11" s="65"/>
      <c r="D11" s="65"/>
      <c r="E11" s="65"/>
      <c r="G11" s="19"/>
    </row>
    <row r="12" spans="1:7" x14ac:dyDescent="0.2">
      <c r="A12" s="25"/>
      <c r="B12" s="27" t="s">
        <v>13</v>
      </c>
      <c r="C12" s="73"/>
      <c r="D12" s="65"/>
      <c r="E12" s="65"/>
      <c r="G12" s="19"/>
    </row>
    <row r="13" spans="1:7" x14ac:dyDescent="0.2">
      <c r="A13" s="25"/>
      <c r="B13" s="27" t="s">
        <v>14</v>
      </c>
      <c r="C13" s="65"/>
      <c r="D13" s="65"/>
      <c r="E13" s="65"/>
      <c r="G13" s="19"/>
    </row>
    <row r="14" spans="1:7" x14ac:dyDescent="0.2">
      <c r="A14" s="25"/>
      <c r="B14" s="27" t="s">
        <v>15</v>
      </c>
      <c r="C14" s="65" t="s">
        <v>41</v>
      </c>
      <c r="D14" s="65"/>
      <c r="E14" s="65"/>
      <c r="G14" s="19"/>
    </row>
    <row r="15" spans="1:7" x14ac:dyDescent="0.2">
      <c r="A15" s="25"/>
      <c r="B15" s="27" t="s">
        <v>16</v>
      </c>
      <c r="C15" s="74" t="s">
        <v>42</v>
      </c>
      <c r="D15" s="74"/>
      <c r="E15" s="74"/>
      <c r="G15" s="19"/>
    </row>
    <row r="16" spans="1:7" x14ac:dyDescent="0.2">
      <c r="A16" s="25"/>
      <c r="B16" s="27" t="s">
        <v>17</v>
      </c>
      <c r="C16" s="75" t="s">
        <v>43</v>
      </c>
      <c r="D16" s="75"/>
      <c r="E16" s="75"/>
      <c r="G16" s="19"/>
    </row>
    <row r="17" spans="1:7" x14ac:dyDescent="0.2">
      <c r="A17" s="25"/>
      <c r="C17" s="51"/>
      <c r="D17" s="51"/>
      <c r="E17" s="51"/>
      <c r="G17" s="19"/>
    </row>
    <row r="18" spans="1:7" x14ac:dyDescent="0.2">
      <c r="A18" s="25"/>
      <c r="B18" s="27" t="s">
        <v>18</v>
      </c>
      <c r="C18" s="64" t="s">
        <v>19</v>
      </c>
      <c r="D18" s="64"/>
      <c r="E18" s="64"/>
      <c r="G18" s="19"/>
    </row>
    <row r="19" spans="1:7" x14ac:dyDescent="0.2">
      <c r="A19" s="25"/>
      <c r="B19" s="27" t="s">
        <v>20</v>
      </c>
      <c r="C19" s="65" t="str">
        <f>F4</f>
        <v>Cam Carrillo</v>
      </c>
      <c r="D19" s="65"/>
      <c r="E19" s="65"/>
      <c r="G19" s="19"/>
    </row>
    <row r="20" spans="1:7" x14ac:dyDescent="0.2">
      <c r="A20" s="25"/>
      <c r="G20" s="19"/>
    </row>
    <row r="21" spans="1:7" x14ac:dyDescent="0.2">
      <c r="A21" s="33" t="s">
        <v>21</v>
      </c>
      <c r="B21" s="34" t="s">
        <v>22</v>
      </c>
      <c r="C21" s="35" t="s">
        <v>23</v>
      </c>
      <c r="D21" s="36" t="s">
        <v>24</v>
      </c>
      <c r="E21" s="36" t="s">
        <v>25</v>
      </c>
      <c r="F21" s="37" t="s">
        <v>26</v>
      </c>
      <c r="G21" s="38" t="s">
        <v>27</v>
      </c>
    </row>
    <row r="22" spans="1:7" x14ac:dyDescent="0.2">
      <c r="A22" s="33">
        <v>1</v>
      </c>
      <c r="B22" s="61" t="s">
        <v>45</v>
      </c>
      <c r="C22" s="61" t="s">
        <v>46</v>
      </c>
      <c r="D22" s="62">
        <v>46120</v>
      </c>
      <c r="E22" s="61">
        <v>4</v>
      </c>
      <c r="F22" s="57">
        <v>295</v>
      </c>
      <c r="G22" s="58">
        <f t="shared" ref="G22" si="0">E22*F22</f>
        <v>1180</v>
      </c>
    </row>
    <row r="23" spans="1:7" x14ac:dyDescent="0.2">
      <c r="A23" s="3">
        <v>2</v>
      </c>
      <c r="B23" s="61" t="s">
        <v>45</v>
      </c>
      <c r="C23" s="8" t="s">
        <v>44</v>
      </c>
      <c r="D23" s="62">
        <v>46120</v>
      </c>
      <c r="E23" s="2">
        <v>2</v>
      </c>
      <c r="F23" s="57">
        <v>400</v>
      </c>
      <c r="G23" s="58">
        <f t="shared" ref="G23:G26" si="1">E23*F23</f>
        <v>800</v>
      </c>
    </row>
    <row r="24" spans="1:7" x14ac:dyDescent="0.2">
      <c r="A24" s="3"/>
      <c r="B24" s="4"/>
      <c r="C24" s="8"/>
      <c r="D24" s="28"/>
      <c r="E24" s="2"/>
      <c r="F24" s="57"/>
      <c r="G24" s="58">
        <f t="shared" si="1"/>
        <v>0</v>
      </c>
    </row>
    <row r="25" spans="1:7" x14ac:dyDescent="0.2">
      <c r="A25" s="3"/>
      <c r="B25" s="4"/>
      <c r="C25" s="8"/>
      <c r="D25" s="28"/>
      <c r="E25" s="2"/>
      <c r="F25" s="57"/>
      <c r="G25" s="58">
        <f t="shared" si="1"/>
        <v>0</v>
      </c>
    </row>
    <row r="26" spans="1:7" x14ac:dyDescent="0.2">
      <c r="A26" s="3"/>
      <c r="B26" s="4"/>
      <c r="C26" s="8"/>
      <c r="D26" s="28"/>
      <c r="E26" s="2"/>
      <c r="F26" s="57"/>
      <c r="G26" s="58">
        <f t="shared" si="1"/>
        <v>0</v>
      </c>
    </row>
    <row r="27" spans="1:7" x14ac:dyDescent="0.2">
      <c r="A27" s="40" t="s">
        <v>28</v>
      </c>
      <c r="B27" s="66"/>
      <c r="C27" s="66"/>
      <c r="D27" s="66"/>
      <c r="E27" s="67"/>
      <c r="F27" s="5" t="s">
        <v>29</v>
      </c>
      <c r="G27" s="59">
        <f>SUM(G22:G22)</f>
        <v>1180</v>
      </c>
    </row>
    <row r="28" spans="1:7" x14ac:dyDescent="0.2">
      <c r="A28" s="15"/>
      <c r="B28" s="68"/>
      <c r="C28" s="68"/>
      <c r="D28" s="68"/>
      <c r="E28" s="69"/>
      <c r="F28" s="5" t="s">
        <v>30</v>
      </c>
      <c r="G28" s="59" t="s">
        <v>31</v>
      </c>
    </row>
    <row r="29" spans="1:7" x14ac:dyDescent="0.2">
      <c r="A29" s="15"/>
      <c r="B29" s="68"/>
      <c r="C29" s="68"/>
      <c r="D29" s="68"/>
      <c r="E29" s="69"/>
      <c r="F29" s="5" t="s">
        <v>32</v>
      </c>
      <c r="G29" s="59" t="s">
        <v>31</v>
      </c>
    </row>
    <row r="30" spans="1:7" ht="13.5" thickBot="1" x14ac:dyDescent="0.25">
      <c r="A30" s="16"/>
      <c r="B30" s="70"/>
      <c r="C30" s="70"/>
      <c r="D30" s="70"/>
      <c r="E30" s="71"/>
      <c r="F30" s="39" t="s">
        <v>33</v>
      </c>
      <c r="G30" s="60">
        <f>SUM(G27:G29)</f>
        <v>1180</v>
      </c>
    </row>
    <row r="31" spans="1:7" ht="13.5" thickBot="1" x14ac:dyDescent="0.25">
      <c r="A31" s="29"/>
      <c r="B31" s="30"/>
      <c r="C31" s="30"/>
      <c r="D31" s="30"/>
      <c r="E31" s="30"/>
      <c r="F31" s="30"/>
      <c r="G31" s="31"/>
    </row>
    <row r="32" spans="1:7" x14ac:dyDescent="0.2">
      <c r="A32" s="42"/>
      <c r="B32" s="43"/>
      <c r="C32" s="43"/>
      <c r="D32" s="47"/>
      <c r="E32" s="46" t="s">
        <v>34</v>
      </c>
      <c r="F32" s="9"/>
      <c r="G32" s="12"/>
    </row>
    <row r="33" spans="1:7" x14ac:dyDescent="0.2">
      <c r="A33" s="10"/>
      <c r="B33" s="11"/>
      <c r="C33" s="11"/>
      <c r="D33" s="48"/>
      <c r="F33" s="11"/>
      <c r="G33" s="13"/>
    </row>
    <row r="34" spans="1:7" x14ac:dyDescent="0.2">
      <c r="A34" s="10"/>
      <c r="B34" s="11"/>
      <c r="C34" s="11"/>
      <c r="D34" s="48"/>
      <c r="F34" s="11"/>
      <c r="G34" s="13"/>
    </row>
    <row r="35" spans="1:7" x14ac:dyDescent="0.2">
      <c r="A35" s="25"/>
      <c r="C35" s="11"/>
      <c r="D35" s="49" t="s">
        <v>35</v>
      </c>
      <c r="E35" s="11" t="s">
        <v>36</v>
      </c>
      <c r="F35" s="11"/>
      <c r="G35" s="13"/>
    </row>
    <row r="36" spans="1:7" ht="13.5" thickBot="1" x14ac:dyDescent="0.25">
      <c r="A36" s="44"/>
      <c r="B36" s="45"/>
      <c r="C36" s="14"/>
      <c r="D36" s="50" t="s">
        <v>37</v>
      </c>
      <c r="E36" s="41">
        <f ca="1">TODAY()</f>
        <v>46105</v>
      </c>
      <c r="F36" s="6"/>
      <c r="G36" s="7"/>
    </row>
    <row r="37" spans="1:7" ht="13.5" thickTop="1" x14ac:dyDescent="0.2"/>
    <row r="66" ht="3.75" customHeight="1" x14ac:dyDescent="0.2"/>
  </sheetData>
  <mergeCells count="10">
    <mergeCell ref="C18:E18"/>
    <mergeCell ref="C19:E19"/>
    <mergeCell ref="B27:E30"/>
    <mergeCell ref="C10:E10"/>
    <mergeCell ref="C11:E11"/>
    <mergeCell ref="C12:E12"/>
    <mergeCell ref="C13:E13"/>
    <mergeCell ref="C14:E14"/>
    <mergeCell ref="C15:E15"/>
    <mergeCell ref="C16:E16"/>
  </mergeCells>
  <phoneticPr fontId="0" type="noConversion"/>
  <hyperlinks>
    <hyperlink ref="B2" r:id="rId1" xr:uid="{00000000-0004-0000-0100-000000000000}"/>
    <hyperlink ref="B3" r:id="rId2" xr:uid="{00000000-0004-0000-0100-000001000000}"/>
    <hyperlink ref="F5" r:id="rId3" xr:uid="{8605E541-13AD-4023-826D-41764EB4313E}"/>
    <hyperlink ref="C15" r:id="rId4" xr:uid="{0CF53FCF-7E6C-4767-BB9E-3543F695F128}"/>
  </hyperlinks>
  <pageMargins left="0.74791666666666701" right="0.74791666666666701" top="0.98402777777777795" bottom="0.98402777777777795" header="0.51180555555555596" footer="0.51180555555555596"/>
  <pageSetup scale="66" firstPageNumber="0" orientation="portrait" horizontalDpi="300" verticalDpi="300" r:id="rId5"/>
  <headerFooter alignWithMargins="0"/>
  <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469D4CAB47984B952036F96EEA9DBB" ma:contentTypeVersion="20" ma:contentTypeDescription="Create a new document." ma:contentTypeScope="" ma:versionID="10c07b803dcd35930ba300832b38eb58">
  <xsd:schema xmlns:xsd="http://www.w3.org/2001/XMLSchema" xmlns:xs="http://www.w3.org/2001/XMLSchema" xmlns:p="http://schemas.microsoft.com/office/2006/metadata/properties" xmlns:ns2="4e76ce3a-e11d-4a05-a8dc-aa1ea4e06c8e" xmlns:ns3="06657bec-3fff-4826-bd40-c0cf621177b0" targetNamespace="http://schemas.microsoft.com/office/2006/metadata/properties" ma:root="true" ma:fieldsID="889f33e520f997107cc94a6cfd9e6f43" ns2:_="" ns3:_="">
    <xsd:import namespace="4e76ce3a-e11d-4a05-a8dc-aa1ea4e06c8e"/>
    <xsd:import namespace="06657bec-3fff-4826-bd40-c0cf621177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76ce3a-e11d-4a05-a8dc-aa1ea4e06c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ternalName="MediaServiceLocatio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addbf1-fb3a-47ae-94f7-859069dd69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657bec-3fff-4826-bd40-c0cf6211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91b2369-c219-48f1-904e-242cd3f925e5}" ma:internalName="TaxCatchAll" ma:showField="CatchAllData" ma:web="06657bec-3fff-4826-bd40-c0cf621177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657bec-3fff-4826-bd40-c0cf621177b0" xsi:nil="true"/>
    <lcf76f155ced4ddcb4097134ff3c332f xmlns="4e76ce3a-e11d-4a05-a8dc-aa1ea4e06c8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91504A-BDCD-4B28-B126-C22718E98D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76ce3a-e11d-4a05-a8dc-aa1ea4e06c8e"/>
    <ds:schemaRef ds:uri="06657bec-3fff-4826-bd40-c0cf621177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83B2A5A-1BA1-4BA4-A459-B98CD13165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7C59F9-8150-47F9-978B-D6919687D387}">
  <ds:schemaRefs>
    <ds:schemaRef ds:uri="http://schemas.microsoft.com/office/2006/metadata/properties"/>
    <ds:schemaRef ds:uri="http://schemas.microsoft.com/office/infopath/2007/PartnerControls"/>
    <ds:schemaRef ds:uri="06657bec-3fff-4826-bd40-c0cf621177b0"/>
    <ds:schemaRef ds:uri="4e76ce3a-e11d-4a05-a8dc-aa1ea4e06c8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 Form</vt:lpstr>
      <vt:lpstr>'PO Form'!Print_Area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Laurence</dc:creator>
  <cp:keywords/>
  <dc:description/>
  <cp:lastModifiedBy>Cam Carrillo</cp:lastModifiedBy>
  <cp:revision/>
  <dcterms:created xsi:type="dcterms:W3CDTF">2023-07-20T23:41:42Z</dcterms:created>
  <dcterms:modified xsi:type="dcterms:W3CDTF">2026-03-24T21:04:44Z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0x01010085469D4CAB47984B952036F96EEA9DBB</vt:lpwstr>
  </property>
</Properties>
</file>